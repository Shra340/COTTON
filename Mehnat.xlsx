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hrad\Downloads\"/>
    </mc:Choice>
  </mc:AlternateContent>
  <xr:revisionPtr revIDLastSave="0" documentId="13_ncr:1_{8005BEF3-7C2E-4554-B46B-76787530F3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mptions" sheetId="3" r:id="rId1"/>
    <sheet name="PnL" sheetId="1" r:id="rId2"/>
    <sheet name="BS" sheetId="2" r:id="rId3"/>
    <sheet name="Asset Schedule" sheetId="4" r:id="rId4"/>
    <sheet name="Debt Schedule" sheetId="5" r:id="rId5"/>
    <sheet name="Equity Sch_Other" sheetId="6" r:id="rId6"/>
    <sheet name="CF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7" l="1"/>
  <c r="F33" i="2"/>
  <c r="G33" i="2"/>
  <c r="G10" i="6"/>
  <c r="G15" i="7"/>
  <c r="H15" i="7"/>
  <c r="I15" i="7"/>
  <c r="J15" i="7"/>
  <c r="K15" i="7"/>
  <c r="L15" i="7"/>
  <c r="F15" i="7"/>
  <c r="G14" i="7"/>
  <c r="H14" i="7"/>
  <c r="I14" i="7"/>
  <c r="J14" i="7"/>
  <c r="K14" i="7"/>
  <c r="L14" i="7"/>
  <c r="F14" i="7"/>
  <c r="G13" i="7"/>
  <c r="H13" i="7"/>
  <c r="I13" i="7"/>
  <c r="J13" i="7"/>
  <c r="K13" i="7"/>
  <c r="L13" i="7"/>
  <c r="F13" i="7"/>
  <c r="G12" i="7"/>
  <c r="H12" i="7"/>
  <c r="I12" i="7"/>
  <c r="J12" i="7"/>
  <c r="K12" i="7"/>
  <c r="L12" i="7"/>
  <c r="F12" i="7"/>
  <c r="G11" i="7"/>
  <c r="H11" i="7"/>
  <c r="I11" i="7"/>
  <c r="J11" i="7"/>
  <c r="K11" i="7"/>
  <c r="L11" i="7"/>
  <c r="F11" i="7"/>
  <c r="G10" i="7"/>
  <c r="H10" i="7"/>
  <c r="I10" i="7"/>
  <c r="J10" i="7"/>
  <c r="K10" i="7"/>
  <c r="L10" i="7"/>
  <c r="F10" i="7"/>
  <c r="E41" i="7"/>
  <c r="F21" i="7"/>
  <c r="G21" i="7"/>
  <c r="H21" i="7"/>
  <c r="I21" i="7"/>
  <c r="J21" i="7"/>
  <c r="K21" i="7"/>
  <c r="L21" i="7"/>
  <c r="F22" i="7"/>
  <c r="G22" i="7"/>
  <c r="H22" i="7"/>
  <c r="I22" i="7"/>
  <c r="J22" i="7"/>
  <c r="K22" i="7"/>
  <c r="L22" i="7"/>
  <c r="F24" i="7"/>
  <c r="G24" i="7"/>
  <c r="H24" i="7"/>
  <c r="I24" i="7"/>
  <c r="J24" i="7"/>
  <c r="K24" i="7"/>
  <c r="L24" i="7"/>
  <c r="F39" i="7"/>
  <c r="F34" i="7"/>
  <c r="G34" i="7"/>
  <c r="F33" i="7"/>
  <c r="G33" i="7"/>
  <c r="F32" i="7"/>
  <c r="G32" i="7"/>
  <c r="H32" i="7"/>
  <c r="I32" i="7"/>
  <c r="J32" i="7"/>
  <c r="K32" i="7"/>
  <c r="L32" i="7"/>
  <c r="F31" i="7"/>
  <c r="G31" i="7"/>
  <c r="H31" i="7"/>
  <c r="I31" i="7"/>
  <c r="J31" i="7"/>
  <c r="K31" i="7"/>
  <c r="L31" i="7"/>
  <c r="F30" i="7"/>
  <c r="G30" i="7"/>
  <c r="H30" i="7"/>
  <c r="I30" i="7"/>
  <c r="J30" i="7"/>
  <c r="K30" i="7"/>
  <c r="L30" i="7"/>
  <c r="F29" i="7"/>
  <c r="G29" i="7"/>
  <c r="H29" i="7"/>
  <c r="I29" i="7"/>
  <c r="J29" i="7"/>
  <c r="K29" i="7"/>
  <c r="L29" i="7"/>
  <c r="F28" i="7"/>
  <c r="G28" i="7"/>
  <c r="H28" i="7"/>
  <c r="I28" i="7"/>
  <c r="J28" i="7"/>
  <c r="K28" i="7"/>
  <c r="L28" i="7"/>
  <c r="F27" i="7"/>
  <c r="G27" i="7"/>
  <c r="H27" i="7"/>
  <c r="I27" i="7"/>
  <c r="J27" i="7"/>
  <c r="K27" i="7"/>
  <c r="L27" i="7"/>
  <c r="F16" i="7"/>
  <c r="F18" i="7" s="1"/>
  <c r="F36" i="7" s="1"/>
  <c r="F40" i="7" s="1"/>
  <c r="G16" i="7"/>
  <c r="G18" i="7" s="1"/>
  <c r="G40" i="7" s="1"/>
  <c r="H16" i="7"/>
  <c r="I16" i="7"/>
  <c r="J16" i="7"/>
  <c r="K16" i="7"/>
  <c r="L16" i="7"/>
  <c r="F7" i="7"/>
  <c r="G7" i="7"/>
  <c r="F6" i="7"/>
  <c r="G6" i="7"/>
  <c r="H6" i="7"/>
  <c r="I6" i="7"/>
  <c r="J6" i="7"/>
  <c r="K6" i="7"/>
  <c r="L6" i="7"/>
  <c r="F5" i="7"/>
  <c r="G5" i="7"/>
  <c r="I31" i="2"/>
  <c r="J31" i="2"/>
  <c r="K31" i="2"/>
  <c r="L31" i="2"/>
  <c r="H31" i="2"/>
  <c r="I32" i="2"/>
  <c r="J32" i="2"/>
  <c r="K32" i="2"/>
  <c r="L32" i="2"/>
  <c r="H32" i="2"/>
  <c r="I30" i="2"/>
  <c r="J30" i="2"/>
  <c r="K30" i="2"/>
  <c r="L30" i="2"/>
  <c r="H30" i="2"/>
  <c r="I11" i="2"/>
  <c r="J11" i="2"/>
  <c r="K11" i="2"/>
  <c r="L11" i="2"/>
  <c r="H11" i="2"/>
  <c r="I10" i="2"/>
  <c r="J10" i="2"/>
  <c r="K10" i="2"/>
  <c r="L10" i="2"/>
  <c r="H10" i="2"/>
  <c r="I9" i="2"/>
  <c r="J9" i="2"/>
  <c r="K9" i="2"/>
  <c r="L9" i="2"/>
  <c r="H9" i="2"/>
  <c r="H7" i="3"/>
  <c r="H8" i="3"/>
  <c r="H9" i="3"/>
  <c r="H10" i="3"/>
  <c r="F10" i="3"/>
  <c r="G10" i="3"/>
  <c r="E10" i="3"/>
  <c r="F9" i="3"/>
  <c r="G9" i="3"/>
  <c r="E9" i="3"/>
  <c r="F8" i="3"/>
  <c r="G8" i="3"/>
  <c r="E8" i="3"/>
  <c r="F7" i="3"/>
  <c r="G7" i="3"/>
  <c r="E7" i="3"/>
  <c r="F6" i="3"/>
  <c r="G6" i="3"/>
  <c r="E6" i="3"/>
  <c r="E45" i="2"/>
  <c r="F24" i="2"/>
  <c r="G24" i="2"/>
  <c r="E24" i="2"/>
  <c r="F12" i="2"/>
  <c r="G12" i="2"/>
  <c r="H12" i="2"/>
  <c r="I12" i="2"/>
  <c r="J12" i="2"/>
  <c r="K12" i="2"/>
  <c r="L12" i="2"/>
  <c r="E12" i="2"/>
  <c r="F22" i="2"/>
  <c r="E22" i="2"/>
  <c r="G22" i="2"/>
  <c r="I20" i="2"/>
  <c r="J20" i="2"/>
  <c r="K20" i="2"/>
  <c r="L20" i="2"/>
  <c r="H20" i="2"/>
  <c r="G13" i="6"/>
  <c r="H10" i="6" s="1"/>
  <c r="F13" i="6"/>
  <c r="G11" i="6"/>
  <c r="F11" i="6"/>
  <c r="F10" i="6"/>
  <c r="F17" i="2"/>
  <c r="G17" i="2"/>
  <c r="H17" i="2"/>
  <c r="I17" i="2"/>
  <c r="J17" i="2"/>
  <c r="K17" i="2"/>
  <c r="L17" i="2"/>
  <c r="E17" i="2"/>
  <c r="I16" i="2"/>
  <c r="J16" i="2"/>
  <c r="K16" i="2"/>
  <c r="L16" i="2"/>
  <c r="H16" i="2"/>
  <c r="I15" i="2"/>
  <c r="J15" i="2"/>
  <c r="K15" i="2"/>
  <c r="L15" i="2"/>
  <c r="H15" i="2"/>
  <c r="G7" i="5"/>
  <c r="F41" i="2"/>
  <c r="F45" i="2" s="1"/>
  <c r="G41" i="2"/>
  <c r="G45" i="2" s="1"/>
  <c r="E41" i="2"/>
  <c r="E33" i="2"/>
  <c r="F38" i="2"/>
  <c r="G38" i="2"/>
  <c r="H38" i="2"/>
  <c r="I38" i="2"/>
  <c r="J38" i="2"/>
  <c r="K38" i="2"/>
  <c r="L38" i="2"/>
  <c r="E38" i="2"/>
  <c r="I37" i="2"/>
  <c r="J37" i="2"/>
  <c r="K37" i="2"/>
  <c r="L37" i="2"/>
  <c r="H37" i="2"/>
  <c r="I36" i="2"/>
  <c r="J36" i="2"/>
  <c r="K36" i="2"/>
  <c r="L36" i="2"/>
  <c r="H36" i="2"/>
  <c r="F22" i="1"/>
  <c r="G22" i="1"/>
  <c r="E22" i="1"/>
  <c r="F20" i="1"/>
  <c r="G20" i="1"/>
  <c r="E20" i="1"/>
  <c r="I12" i="5"/>
  <c r="J12" i="5"/>
  <c r="K12" i="5"/>
  <c r="L12" i="5"/>
  <c r="H11" i="5"/>
  <c r="I11" i="5"/>
  <c r="J11" i="5"/>
  <c r="K11" i="5"/>
  <c r="L11" i="5"/>
  <c r="I10" i="5"/>
  <c r="J10" i="5"/>
  <c r="K10" i="5"/>
  <c r="L10" i="5"/>
  <c r="H10" i="5"/>
  <c r="H12" i="5" s="1"/>
  <c r="H7" i="5"/>
  <c r="I7" i="5"/>
  <c r="J7" i="5"/>
  <c r="K7" i="5"/>
  <c r="L7" i="5"/>
  <c r="F8" i="5"/>
  <c r="G5" i="5" s="1"/>
  <c r="G8" i="5" s="1"/>
  <c r="H5" i="5" s="1"/>
  <c r="H8" i="5" s="1"/>
  <c r="I5" i="5" s="1"/>
  <c r="I8" i="5" s="1"/>
  <c r="J5" i="5" s="1"/>
  <c r="J8" i="5" s="1"/>
  <c r="K5" i="5" s="1"/>
  <c r="K8" i="5" s="1"/>
  <c r="L5" i="5" s="1"/>
  <c r="L8" i="5" s="1"/>
  <c r="F5" i="5"/>
  <c r="E8" i="5"/>
  <c r="F7" i="5"/>
  <c r="E7" i="5"/>
  <c r="E6" i="5" a="1"/>
  <c r="E6" i="5" s="1"/>
  <c r="F18" i="1"/>
  <c r="G18" i="1"/>
  <c r="H18" i="1"/>
  <c r="I18" i="1"/>
  <c r="J18" i="1"/>
  <c r="K18" i="1"/>
  <c r="L18" i="1"/>
  <c r="E18" i="1"/>
  <c r="F16" i="1"/>
  <c r="G16" i="1"/>
  <c r="E16" i="1"/>
  <c r="G23" i="4"/>
  <c r="F23" i="4"/>
  <c r="F24" i="4"/>
  <c r="G24" i="4"/>
  <c r="H24" i="4"/>
  <c r="I24" i="4"/>
  <c r="J24" i="4"/>
  <c r="K24" i="4"/>
  <c r="L24" i="4"/>
  <c r="F25" i="4"/>
  <c r="G25" i="4"/>
  <c r="G26" i="4" s="1"/>
  <c r="H23" i="4" s="1"/>
  <c r="H25" i="4"/>
  <c r="I25" i="4"/>
  <c r="J25" i="4"/>
  <c r="K25" i="4"/>
  <c r="L25" i="4"/>
  <c r="E26" i="4"/>
  <c r="E25" i="4"/>
  <c r="E24" i="4"/>
  <c r="C12" i="4" a="1"/>
  <c r="C12" i="4" s="1"/>
  <c r="G14" i="1"/>
  <c r="F14" i="1"/>
  <c r="E14" i="1"/>
  <c r="I10" i="1"/>
  <c r="J10" i="1"/>
  <c r="K10" i="1"/>
  <c r="L10" i="1"/>
  <c r="H10" i="1"/>
  <c r="F40" i="3"/>
  <c r="G40" i="3"/>
  <c r="F38" i="3"/>
  <c r="G38" i="3"/>
  <c r="F36" i="3"/>
  <c r="G36" i="3"/>
  <c r="E40" i="3"/>
  <c r="E38" i="3"/>
  <c r="E36" i="3"/>
  <c r="F7" i="1"/>
  <c r="G7" i="1"/>
  <c r="H7" i="1"/>
  <c r="I7" i="1"/>
  <c r="J7" i="1"/>
  <c r="K7" i="1"/>
  <c r="L7" i="1"/>
  <c r="E7" i="1"/>
  <c r="I6" i="1"/>
  <c r="J6" i="1"/>
  <c r="K6" i="1"/>
  <c r="L6" i="1"/>
  <c r="H6" i="1"/>
  <c r="H5" i="1"/>
  <c r="I5" i="1"/>
  <c r="J5" i="1"/>
  <c r="K5" i="1"/>
  <c r="L5" i="1"/>
  <c r="I32" i="3"/>
  <c r="J32" i="3"/>
  <c r="K32" i="3"/>
  <c r="L32" i="3"/>
  <c r="H32" i="3"/>
  <c r="I30" i="3"/>
  <c r="J30" i="3"/>
  <c r="K30" i="3"/>
  <c r="L30" i="3"/>
  <c r="H30" i="3"/>
  <c r="H23" i="3"/>
  <c r="I23" i="3"/>
  <c r="J23" i="3" s="1"/>
  <c r="K23" i="3" s="1"/>
  <c r="L23" i="3" s="1"/>
  <c r="I25" i="3"/>
  <c r="J25" i="3"/>
  <c r="K25" i="3"/>
  <c r="L25" i="3"/>
  <c r="H25" i="3"/>
  <c r="G26" i="3"/>
  <c r="F26" i="3"/>
  <c r="G24" i="3"/>
  <c r="F24" i="3"/>
  <c r="I19" i="3"/>
  <c r="J19" i="3"/>
  <c r="K19" i="3"/>
  <c r="L19" i="3"/>
  <c r="I17" i="3"/>
  <c r="J17" i="3"/>
  <c r="K17" i="3"/>
  <c r="L17" i="3"/>
  <c r="H19" i="3"/>
  <c r="H17" i="3"/>
  <c r="I18" i="3"/>
  <c r="J18" i="3"/>
  <c r="K18" i="3"/>
  <c r="L18" i="3"/>
  <c r="H20" i="3"/>
  <c r="G20" i="3"/>
  <c r="F20" i="3"/>
  <c r="H18" i="3"/>
  <c r="G18" i="3"/>
  <c r="F18" i="3"/>
  <c r="G31" i="3"/>
  <c r="F31" i="3"/>
  <c r="F41" i="7" l="1"/>
  <c r="G39" i="7" s="1"/>
  <c r="G41" i="7" s="1"/>
  <c r="I26" i="4"/>
  <c r="J23" i="4" s="1"/>
  <c r="J26" i="4" s="1"/>
  <c r="K23" i="4" s="1"/>
  <c r="K26" i="4" s="1"/>
  <c r="L23" i="4" s="1"/>
  <c r="L26" i="4" s="1"/>
  <c r="H26" i="4"/>
  <c r="I23" i="4" s="1"/>
  <c r="F26" i="4"/>
  <c r="I20" i="3"/>
  <c r="J20" i="3" s="1"/>
  <c r="K20" i="3" s="1"/>
  <c r="L20" i="3" s="1"/>
  <c r="H39" i="7" l="1"/>
  <c r="G27" i="5"/>
  <c r="L21" i="5"/>
  <c r="K21" i="5"/>
  <c r="J21" i="5"/>
  <c r="I21" i="5"/>
  <c r="H21" i="5"/>
  <c r="I81" i="3" l="1"/>
  <c r="J81" i="3" s="1"/>
  <c r="K81" i="3" s="1"/>
  <c r="G81" i="3"/>
  <c r="F81" i="3" s="1"/>
  <c r="E86" i="3"/>
  <c r="E87" i="3" s="1"/>
  <c r="E85" i="3"/>
  <c r="E83" i="3"/>
  <c r="E82" i="3" s="1"/>
  <c r="G6" i="6"/>
  <c r="F6" i="6"/>
  <c r="L12" i="6"/>
  <c r="K12" i="6"/>
  <c r="J12" i="6"/>
  <c r="I12" i="6"/>
  <c r="G12" i="6"/>
  <c r="F12" i="6"/>
  <c r="H12" i="6"/>
  <c r="F7" i="6"/>
  <c r="E7" i="6"/>
  <c r="L6" i="6"/>
  <c r="K6" i="6"/>
  <c r="J6" i="6"/>
  <c r="I6" i="6"/>
  <c r="H6" i="6"/>
  <c r="H5" i="6"/>
  <c r="H7" i="6" s="1"/>
  <c r="G7" i="6"/>
  <c r="L30" i="5"/>
  <c r="K30" i="5"/>
  <c r="J30" i="5"/>
  <c r="I30" i="5"/>
  <c r="L29" i="5"/>
  <c r="K29" i="5"/>
  <c r="J29" i="5"/>
  <c r="I29" i="5"/>
  <c r="H30" i="5"/>
  <c r="H29" i="5"/>
  <c r="F44" i="3"/>
  <c r="G44" i="3" s="1"/>
  <c r="F5" i="4"/>
  <c r="L8" i="4"/>
  <c r="I8" i="4"/>
  <c r="G8" i="4"/>
  <c r="E8" i="4"/>
  <c r="L6" i="4"/>
  <c r="K6" i="4"/>
  <c r="J6" i="4"/>
  <c r="I6" i="4"/>
  <c r="H6" i="4"/>
  <c r="G6" i="4"/>
  <c r="F6" i="4"/>
  <c r="E6" i="4"/>
  <c r="E5" i="4"/>
  <c r="I5" i="6" l="1"/>
  <c r="I7" i="6" s="1"/>
  <c r="H44" i="3"/>
  <c r="G5" i="4"/>
  <c r="H5" i="4"/>
  <c r="I44" i="3"/>
  <c r="H12" i="3"/>
  <c r="I12" i="3" s="1"/>
  <c r="J12" i="3" s="1"/>
  <c r="K12" i="3" s="1"/>
  <c r="L12" i="3" s="1"/>
  <c r="G12" i="3"/>
  <c r="F12" i="3"/>
  <c r="H6" i="3"/>
  <c r="I6" i="3" s="1"/>
  <c r="J6" i="3" s="1"/>
  <c r="K6" i="3" s="1"/>
  <c r="L6" i="3" s="1"/>
  <c r="I7" i="3"/>
  <c r="J7" i="3" s="1"/>
  <c r="K7" i="3" s="1"/>
  <c r="L7" i="3" s="1"/>
  <c r="I10" i="3"/>
  <c r="I9" i="3"/>
  <c r="J9" i="3" s="1"/>
  <c r="K9" i="3" s="1"/>
  <c r="L9" i="3" s="1"/>
  <c r="I8" i="3"/>
  <c r="J8" i="3" s="1"/>
  <c r="K8" i="3" s="1"/>
  <c r="L8" i="3" s="1"/>
  <c r="J5" i="6" l="1"/>
  <c r="J7" i="6" s="1"/>
  <c r="J44" i="3"/>
  <c r="I5" i="4"/>
  <c r="J10" i="3"/>
  <c r="K10" i="3" s="1"/>
  <c r="L10" i="3" s="1"/>
  <c r="E13" i="6"/>
  <c r="K5" i="6" l="1"/>
  <c r="K7" i="6" s="1"/>
  <c r="K44" i="3"/>
  <c r="J5" i="4"/>
  <c r="H40" i="3"/>
  <c r="H39" i="3" s="1"/>
  <c r="H13" i="1" s="1"/>
  <c r="H38" i="3"/>
  <c r="I38" i="3" l="1"/>
  <c r="H37" i="3"/>
  <c r="H12" i="1" s="1"/>
  <c r="L5" i="6"/>
  <c r="L7" i="6" s="1"/>
  <c r="L44" i="3"/>
  <c r="L5" i="4" s="1"/>
  <c r="K5" i="4"/>
  <c r="I40" i="3"/>
  <c r="I39" i="3" s="1"/>
  <c r="I13" i="1" s="1"/>
  <c r="H36" i="3"/>
  <c r="H35" i="3" s="1"/>
  <c r="H11" i="1" s="1"/>
  <c r="H14" i="1" s="1"/>
  <c r="H16" i="1" s="1"/>
  <c r="J38" i="3" l="1"/>
  <c r="I37" i="3"/>
  <c r="I12" i="1" s="1"/>
  <c r="J40" i="3"/>
  <c r="I36" i="3"/>
  <c r="I35" i="3" s="1"/>
  <c r="I11" i="1" s="1"/>
  <c r="I14" i="1" s="1"/>
  <c r="I16" i="1" s="1"/>
  <c r="K40" i="3" l="1"/>
  <c r="J39" i="3"/>
  <c r="J13" i="1" s="1"/>
  <c r="K38" i="3"/>
  <c r="J37" i="3"/>
  <c r="J12" i="1" s="1"/>
  <c r="J36" i="3"/>
  <c r="J35" i="3" s="1"/>
  <c r="J11" i="1" s="1"/>
  <c r="J14" i="1" s="1"/>
  <c r="J16" i="1" s="1"/>
  <c r="L38" i="3" l="1"/>
  <c r="L37" i="3" s="1"/>
  <c r="L12" i="1" s="1"/>
  <c r="K37" i="3"/>
  <c r="K12" i="1" s="1"/>
  <c r="L40" i="3"/>
  <c r="L39" i="3" s="1"/>
  <c r="L13" i="1" s="1"/>
  <c r="K39" i="3"/>
  <c r="K13" i="1" s="1"/>
  <c r="K36" i="3"/>
  <c r="K35" i="3" s="1"/>
  <c r="K11" i="1" s="1"/>
  <c r="K14" i="1" s="1"/>
  <c r="K16" i="1" s="1"/>
  <c r="L36" i="3" l="1"/>
  <c r="L35" i="3" s="1"/>
  <c r="L11" i="1" s="1"/>
  <c r="L14" i="1" s="1"/>
  <c r="L16" i="1" s="1"/>
  <c r="B15" i="7" l="1"/>
  <c r="B14" i="7"/>
  <c r="B13" i="7"/>
  <c r="B11" i="7"/>
  <c r="B12" i="7"/>
  <c r="B10" i="7"/>
  <c r="E2" i="7"/>
  <c r="E2" i="6"/>
  <c r="E18" i="5"/>
  <c r="F15" i="5" s="1"/>
  <c r="F17" i="5"/>
  <c r="G17" i="5"/>
  <c r="H17" i="5"/>
  <c r="I17" i="5"/>
  <c r="J17" i="5"/>
  <c r="K17" i="5"/>
  <c r="L17" i="5"/>
  <c r="F16" i="5"/>
  <c r="G16" i="5"/>
  <c r="H16" i="5"/>
  <c r="I16" i="5"/>
  <c r="J16" i="5"/>
  <c r="K16" i="5"/>
  <c r="L16" i="5"/>
  <c r="E2" i="5"/>
  <c r="E2" i="4"/>
  <c r="G33" i="3"/>
  <c r="F33" i="3"/>
  <c r="H31" i="3"/>
  <c r="E2" i="3"/>
  <c r="B12" i="4" l="1"/>
  <c r="B13" i="4" s="1"/>
  <c r="B14" i="4" s="1"/>
  <c r="B15" i="4" s="1"/>
  <c r="B16" i="4" s="1"/>
  <c r="B17" i="4" s="1"/>
  <c r="B18" i="4" s="1"/>
  <c r="B19" i="4" s="1"/>
  <c r="E16" i="4"/>
  <c r="E18" i="4"/>
  <c r="E15" i="4"/>
  <c r="E14" i="4"/>
  <c r="E13" i="4"/>
  <c r="E17" i="4"/>
  <c r="E19" i="4"/>
  <c r="E12" i="4"/>
  <c r="E20" i="4" s="1"/>
  <c r="E30" i="4" s="1"/>
  <c r="E31" i="4" s="1"/>
  <c r="F29" i="4" s="1"/>
  <c r="I31" i="3"/>
  <c r="H33" i="3"/>
  <c r="F18" i="5"/>
  <c r="F2" i="1"/>
  <c r="I33" i="3" l="1"/>
  <c r="J31" i="3"/>
  <c r="G2" i="1"/>
  <c r="F2" i="3"/>
  <c r="F2" i="5"/>
  <c r="F2" i="6"/>
  <c r="F2" i="7"/>
  <c r="F2" i="4"/>
  <c r="G15" i="5"/>
  <c r="G18" i="5" s="1"/>
  <c r="G2" i="2"/>
  <c r="E2" i="2"/>
  <c r="F2" i="2"/>
  <c r="F16" i="4" l="1"/>
  <c r="F18" i="4"/>
  <c r="F15" i="4"/>
  <c r="F14" i="4"/>
  <c r="F17" i="4"/>
  <c r="F19" i="4"/>
  <c r="F12" i="4"/>
  <c r="F13" i="4"/>
  <c r="J33" i="3"/>
  <c r="K31" i="3"/>
  <c r="H15" i="5"/>
  <c r="H18" i="5" s="1"/>
  <c r="H20" i="5" s="1"/>
  <c r="H22" i="5" s="1"/>
  <c r="H24" i="5" s="1"/>
  <c r="H2" i="1"/>
  <c r="G2" i="7"/>
  <c r="G2" i="4"/>
  <c r="G2" i="3"/>
  <c r="G2" i="5"/>
  <c r="G2" i="6"/>
  <c r="F20" i="4" l="1"/>
  <c r="F30" i="4" s="1"/>
  <c r="F31" i="4" s="1"/>
  <c r="G29" i="4" s="1"/>
  <c r="G16" i="4"/>
  <c r="G18" i="4"/>
  <c r="G15" i="4"/>
  <c r="G17" i="4"/>
  <c r="G19" i="4"/>
  <c r="G12" i="4"/>
  <c r="G13" i="4"/>
  <c r="G14" i="4"/>
  <c r="K33" i="3"/>
  <c r="L31" i="3"/>
  <c r="L33" i="3" s="1"/>
  <c r="I15" i="5"/>
  <c r="I18" i="5" s="1"/>
  <c r="J15" i="5" s="1"/>
  <c r="J18" i="5" s="1"/>
  <c r="I2" i="1"/>
  <c r="H2" i="6"/>
  <c r="H2" i="3"/>
  <c r="H2" i="7"/>
  <c r="H2" i="4"/>
  <c r="H2" i="5"/>
  <c r="H2" i="2"/>
  <c r="H18" i="4" l="1"/>
  <c r="H17" i="4"/>
  <c r="H19" i="4"/>
  <c r="H16" i="4"/>
  <c r="H15" i="4"/>
  <c r="H14" i="4"/>
  <c r="H13" i="4"/>
  <c r="H12" i="4"/>
  <c r="H20" i="4" s="1"/>
  <c r="G20" i="4"/>
  <c r="G30" i="4" s="1"/>
  <c r="G31" i="4"/>
  <c r="H29" i="4" s="1"/>
  <c r="I20" i="5"/>
  <c r="I22" i="5" s="1"/>
  <c r="I24" i="5" s="1"/>
  <c r="J2" i="1"/>
  <c r="I2" i="5"/>
  <c r="I2" i="6"/>
  <c r="I2" i="3"/>
  <c r="I2" i="7"/>
  <c r="I2" i="4"/>
  <c r="I2" i="2"/>
  <c r="K15" i="5"/>
  <c r="K18" i="5" s="1"/>
  <c r="J20" i="5"/>
  <c r="J22" i="5" s="1"/>
  <c r="H17" i="1" l="1"/>
  <c r="H30" i="4"/>
  <c r="H31" i="4" s="1"/>
  <c r="I29" i="4" s="1"/>
  <c r="I18" i="4"/>
  <c r="I17" i="4"/>
  <c r="I19" i="4"/>
  <c r="I12" i="4"/>
  <c r="I14" i="4"/>
  <c r="I15" i="4"/>
  <c r="I13" i="4"/>
  <c r="I16" i="4"/>
  <c r="K2" i="1"/>
  <c r="J2" i="3"/>
  <c r="J2" i="5"/>
  <c r="J2" i="6"/>
  <c r="J2" i="7"/>
  <c r="J2" i="4"/>
  <c r="J2" i="2"/>
  <c r="J24" i="5"/>
  <c r="L15" i="5"/>
  <c r="L18" i="5" s="1"/>
  <c r="K20" i="5"/>
  <c r="I20" i="4" l="1"/>
  <c r="J18" i="4"/>
  <c r="J19" i="4"/>
  <c r="J12" i="4"/>
  <c r="J16" i="4"/>
  <c r="J14" i="4"/>
  <c r="J15" i="4"/>
  <c r="J17" i="4"/>
  <c r="J13" i="4"/>
  <c r="K22" i="5"/>
  <c r="K24" i="5" s="1"/>
  <c r="L2" i="1"/>
  <c r="K2" i="7"/>
  <c r="K2" i="4"/>
  <c r="K2" i="5"/>
  <c r="K2" i="6"/>
  <c r="K2" i="3"/>
  <c r="K2" i="2"/>
  <c r="L20" i="5"/>
  <c r="L22" i="5" s="1"/>
  <c r="J20" i="4" l="1"/>
  <c r="K19" i="4"/>
  <c r="K12" i="4"/>
  <c r="K13" i="4"/>
  <c r="K16" i="4"/>
  <c r="K14" i="4"/>
  <c r="K15" i="4"/>
  <c r="K17" i="4"/>
  <c r="K18" i="4"/>
  <c r="I30" i="4"/>
  <c r="I31" i="4" s="1"/>
  <c r="J29" i="4" s="1"/>
  <c r="I17" i="1"/>
  <c r="L2" i="2"/>
  <c r="L2" i="6"/>
  <c r="L2" i="7"/>
  <c r="L2" i="4"/>
  <c r="L2" i="5"/>
  <c r="L2" i="3"/>
  <c r="L24" i="5"/>
  <c r="L16" i="4" l="1"/>
  <c r="L15" i="4"/>
  <c r="L19" i="4"/>
  <c r="L18" i="4"/>
  <c r="L14" i="4"/>
  <c r="L17" i="4"/>
  <c r="L12" i="4"/>
  <c r="L13" i="4"/>
  <c r="K20" i="4"/>
  <c r="J30" i="4"/>
  <c r="J31" i="4" s="1"/>
  <c r="K29" i="4" s="1"/>
  <c r="J17" i="1"/>
  <c r="L20" i="4" l="1"/>
  <c r="K30" i="4"/>
  <c r="K31" i="4" s="1"/>
  <c r="L29" i="4" s="1"/>
  <c r="K17" i="1"/>
  <c r="L17" i="1" l="1"/>
  <c r="L30" i="4"/>
  <c r="L31" i="4" s="1"/>
  <c r="H41" i="2" l="1"/>
  <c r="H33" i="2"/>
  <c r="H29" i="2"/>
  <c r="K34" i="7"/>
  <c r="K33" i="7"/>
  <c r="L11" i="6"/>
  <c r="L29" i="2"/>
  <c r="L33" i="2"/>
  <c r="L41" i="2"/>
  <c r="L21" i="1"/>
  <c r="K11" i="6"/>
  <c r="I21" i="1"/>
  <c r="H34" i="7"/>
  <c r="H33" i="7"/>
  <c r="H7" i="7"/>
  <c r="K21" i="1"/>
  <c r="H21" i="1"/>
  <c r="I29" i="2"/>
  <c r="I33" i="2"/>
  <c r="I41" i="2"/>
  <c r="I5" i="7"/>
  <c r="I18" i="7"/>
  <c r="I36" i="7"/>
  <c r="I40" i="7"/>
  <c r="L20" i="1"/>
  <c r="L22" i="1"/>
  <c r="L5" i="7"/>
  <c r="L18" i="7"/>
  <c r="L36" i="7"/>
  <c r="L40" i="7"/>
  <c r="J21" i="2"/>
  <c r="J22" i="2"/>
  <c r="J24" i="2"/>
  <c r="J45" i="2"/>
  <c r="H45" i="2"/>
  <c r="H24" i="2"/>
  <c r="H21" i="2"/>
  <c r="H22" i="2"/>
  <c r="K7" i="7"/>
  <c r="J21" i="1"/>
  <c r="J11" i="6"/>
  <c r="I7" i="7"/>
  <c r="L7" i="7"/>
  <c r="J41" i="2"/>
  <c r="J33" i="2"/>
  <c r="J29" i="2"/>
  <c r="K45" i="2"/>
  <c r="K24" i="2"/>
  <c r="K21" i="2"/>
  <c r="K22" i="2"/>
  <c r="J7" i="7"/>
  <c r="J33" i="7"/>
  <c r="J34" i="7"/>
  <c r="L45" i="2"/>
  <c r="J10" i="6"/>
  <c r="J13" i="6"/>
  <c r="K10" i="6"/>
  <c r="K13" i="6"/>
  <c r="L10" i="6"/>
  <c r="L13" i="6"/>
  <c r="L21" i="2"/>
  <c r="L22" i="2"/>
  <c r="L24" i="2"/>
  <c r="J27" i="5"/>
  <c r="J32" i="5"/>
  <c r="J34" i="5"/>
  <c r="J19" i="1"/>
  <c r="J20" i="1"/>
  <c r="J22" i="1"/>
  <c r="J5" i="7"/>
  <c r="J18" i="7"/>
  <c r="J36" i="7"/>
  <c r="J40" i="7"/>
  <c r="K40" i="7"/>
  <c r="K27" i="5"/>
  <c r="K32" i="5"/>
  <c r="K34" i="5"/>
  <c r="K19" i="1"/>
  <c r="K20" i="1"/>
  <c r="K22" i="1"/>
  <c r="K5" i="7"/>
  <c r="K18" i="7"/>
  <c r="K36" i="7"/>
  <c r="I33" i="7"/>
  <c r="I34" i="7"/>
  <c r="L39" i="7"/>
  <c r="L41" i="7"/>
  <c r="L27" i="5"/>
  <c r="L32" i="5"/>
  <c r="L34" i="5"/>
  <c r="L19" i="1"/>
  <c r="L33" i="7"/>
  <c r="L34" i="7"/>
  <c r="I27" i="5"/>
  <c r="I32" i="5"/>
  <c r="I34" i="5"/>
  <c r="I19" i="1"/>
  <c r="I20" i="1"/>
  <c r="I22" i="1"/>
  <c r="I11" i="6"/>
  <c r="H11" i="6"/>
  <c r="H13" i="6"/>
  <c r="I10" i="6"/>
  <c r="I13" i="6"/>
  <c r="I21" i="2"/>
  <c r="I22" i="2"/>
  <c r="I24" i="2"/>
  <c r="I45" i="2"/>
  <c r="H27" i="5"/>
  <c r="H32" i="5"/>
  <c r="H34" i="5"/>
  <c r="H19" i="1"/>
  <c r="H20" i="1"/>
  <c r="H22" i="1"/>
  <c r="H5" i="7"/>
  <c r="H18" i="7"/>
  <c r="H36" i="7"/>
  <c r="H40" i="7"/>
  <c r="H41" i="7"/>
  <c r="I39" i="7"/>
  <c r="I41" i="7"/>
  <c r="J39" i="7"/>
  <c r="J41" i="7"/>
  <c r="K39" i="7"/>
  <c r="K41" i="7"/>
  <c r="K29" i="2"/>
  <c r="K33" i="2"/>
  <c r="K4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<sst xmlns="http://schemas.openxmlformats.org/spreadsheetml/2006/main" count="288" uniqueCount="157">
  <si>
    <t>(Unless otherwise specified, all financials are in USD Mn)</t>
  </si>
  <si>
    <t>EBIT</t>
  </si>
  <si>
    <t>Revenues</t>
  </si>
  <si>
    <t>Total</t>
  </si>
  <si>
    <t>Operating Costs</t>
  </si>
  <si>
    <t>Raw Material Cost</t>
  </si>
  <si>
    <t>Total Operating Costs</t>
  </si>
  <si>
    <t>EBITDA</t>
  </si>
  <si>
    <t>Depreciation</t>
  </si>
  <si>
    <t>Interest expense</t>
  </si>
  <si>
    <t>PBT</t>
  </si>
  <si>
    <t>Taxes</t>
  </si>
  <si>
    <t>PAT</t>
  </si>
  <si>
    <t>Cameras</t>
  </si>
  <si>
    <t>Accessories</t>
  </si>
  <si>
    <t>Research and Development</t>
  </si>
  <si>
    <t>Sales and Marketing</t>
  </si>
  <si>
    <t>General and Adminstration</t>
  </si>
  <si>
    <t>Sources of Funds</t>
  </si>
  <si>
    <t>Liabilities</t>
  </si>
  <si>
    <t>Current Liabilities &amp; Provisions</t>
  </si>
  <si>
    <t>Overdraft</t>
  </si>
  <si>
    <t>Accounts payable</t>
  </si>
  <si>
    <t>Total Current Liabilities &amp; Provisions</t>
  </si>
  <si>
    <t>Non Current Liabilities</t>
  </si>
  <si>
    <t>Secured Loans</t>
  </si>
  <si>
    <t>Unsecured Loans</t>
  </si>
  <si>
    <t>Total Non Current Liabilities</t>
  </si>
  <si>
    <t>Shareholders Equity</t>
  </si>
  <si>
    <t>Paid-up Capital</t>
  </si>
  <si>
    <t>Retained Earnings</t>
  </si>
  <si>
    <t>Total Shareholders' Equity</t>
  </si>
  <si>
    <t>Total Liabilities &amp; Shareholders' Equity</t>
  </si>
  <si>
    <t>Usage of Funds</t>
  </si>
  <si>
    <t>Current Assets</t>
  </si>
  <si>
    <t>Total Current Assets</t>
  </si>
  <si>
    <t>Non Current Assets</t>
  </si>
  <si>
    <t>Gross Block</t>
  </si>
  <si>
    <t>Accumulated depreciation</t>
  </si>
  <si>
    <t>Net Block</t>
  </si>
  <si>
    <t>WIP</t>
  </si>
  <si>
    <t>Total Assets</t>
  </si>
  <si>
    <t>Balance Check</t>
  </si>
  <si>
    <t>Accrued liabilities</t>
  </si>
  <si>
    <t>Deferred revenue</t>
  </si>
  <si>
    <t xml:space="preserve">Cash </t>
  </si>
  <si>
    <t>Inventories,net</t>
  </si>
  <si>
    <t>Prepaid Expenses and other current assets</t>
  </si>
  <si>
    <t>Units</t>
  </si>
  <si>
    <t>Balance Sheet Assumptions</t>
  </si>
  <si>
    <t>Key Ratios</t>
  </si>
  <si>
    <t>Inventory (Days of raw materials cost)</t>
  </si>
  <si>
    <t># days</t>
  </si>
  <si>
    <t>%</t>
  </si>
  <si>
    <t>Accounts Payables (days of raw material costs)</t>
  </si>
  <si>
    <t>Revenue Assumptions</t>
  </si>
  <si>
    <t>Sales Prices</t>
  </si>
  <si>
    <t>Inflation %</t>
  </si>
  <si>
    <t>Sales Volumes</t>
  </si>
  <si>
    <t>Growth %</t>
  </si>
  <si>
    <t>Cost Assumptions</t>
  </si>
  <si>
    <t>USD</t>
  </si>
  <si>
    <t>Asset Schedule Assumptions</t>
  </si>
  <si>
    <t>Capex</t>
  </si>
  <si>
    <t>Asset Life (SLM Method)</t>
  </si>
  <si>
    <t>Years</t>
  </si>
  <si>
    <t>Disposal of Assets</t>
  </si>
  <si>
    <t>Financing Assumptions</t>
  </si>
  <si>
    <t>Interest Rates</t>
  </si>
  <si>
    <t>Interest rate on Secured Loans</t>
  </si>
  <si>
    <t>Interest rate on Unsecured Loans</t>
  </si>
  <si>
    <t>Interest rate on Cash Balance</t>
  </si>
  <si>
    <t>Interest rate on Overdraft</t>
  </si>
  <si>
    <t>Repayments</t>
  </si>
  <si>
    <t>Secured Loans Repayment Schedule</t>
  </si>
  <si>
    <t>Unsecured Loans Repayment Schedule</t>
  </si>
  <si>
    <t>New Debt Issues</t>
  </si>
  <si>
    <t>New Equity Raised</t>
  </si>
  <si>
    <t>Dividends Paid</t>
  </si>
  <si>
    <t>Tax Assumptions</t>
  </si>
  <si>
    <t>Corporate Tax Rate</t>
  </si>
  <si>
    <t>Valuation Assumptions</t>
  </si>
  <si>
    <t>Risk free rate</t>
  </si>
  <si>
    <t>Beta</t>
  </si>
  <si>
    <t>Expected return from market</t>
  </si>
  <si>
    <t>Cost of debt</t>
  </si>
  <si>
    <t>Target debt: capital ratio</t>
  </si>
  <si>
    <t>Terminal Growth Rate</t>
  </si>
  <si>
    <t>WACC</t>
  </si>
  <si>
    <t>Accounts Receivables (days of sales)</t>
  </si>
  <si>
    <t>Accounts receivable</t>
  </si>
  <si>
    <t>Accrued Liability (days of raw material costs)</t>
  </si>
  <si>
    <t>Deferred Revenue (days of sales)</t>
  </si>
  <si>
    <t>Mn $</t>
  </si>
  <si>
    <t>USD/ Item</t>
  </si>
  <si>
    <t>Items</t>
  </si>
  <si>
    <t>Raw Material</t>
  </si>
  <si>
    <t>G&amp;A</t>
  </si>
  <si>
    <t>%age of sales</t>
  </si>
  <si>
    <t>Depreciation Method</t>
  </si>
  <si>
    <t>SLM</t>
  </si>
  <si>
    <t>Asset Life</t>
  </si>
  <si>
    <t>USD Mn</t>
  </si>
  <si>
    <t>Depreciation Schedule</t>
  </si>
  <si>
    <t>Total Depreciation</t>
  </si>
  <si>
    <t>Opening Balance</t>
  </si>
  <si>
    <t>Add: Capex</t>
  </si>
  <si>
    <t>Less: Assets Sold/ Disposed</t>
  </si>
  <si>
    <t>Closing Balance</t>
  </si>
  <si>
    <t>Accumulated Depreciation</t>
  </si>
  <si>
    <t>Add: Depreciation during current year</t>
  </si>
  <si>
    <t>Add: New Issued</t>
  </si>
  <si>
    <t>Less: Repayments</t>
  </si>
  <si>
    <t>Average Loan Outstanding</t>
  </si>
  <si>
    <t>Interest Rate</t>
  </si>
  <si>
    <t>Interest Expense</t>
  </si>
  <si>
    <t>Total Interest Expense</t>
  </si>
  <si>
    <t>Cash/ (Overdraft)</t>
  </si>
  <si>
    <t>Interest Earned/ (Expense)</t>
  </si>
  <si>
    <t>Net Interest Expense</t>
  </si>
  <si>
    <t>Paid-Up Capital</t>
  </si>
  <si>
    <t>Add: New Equity Raised</t>
  </si>
  <si>
    <t>Add: PAT</t>
  </si>
  <si>
    <t>Less: Dividends Paid</t>
  </si>
  <si>
    <t>Cashflow from Operating Activities</t>
  </si>
  <si>
    <t>Add: Depreciation</t>
  </si>
  <si>
    <t>Add: Interest Expense</t>
  </si>
  <si>
    <t>Net Change in Working Capital</t>
  </si>
  <si>
    <t>Cashflow from Operations</t>
  </si>
  <si>
    <t>Cashflow from Investment Activities</t>
  </si>
  <si>
    <t>Less: Capex</t>
  </si>
  <si>
    <t>Less: Increase in WIP</t>
  </si>
  <si>
    <t>Cashflow from Financing Activities</t>
  </si>
  <si>
    <t>Add: New Secured Loans Raised</t>
  </si>
  <si>
    <t>Add: New Unsecured Loans Raised</t>
  </si>
  <si>
    <t>Less: Secured Loans Repaid</t>
  </si>
  <si>
    <t>Less: Unsecured Loans Repaid</t>
  </si>
  <si>
    <t>Less: Interest Expense</t>
  </si>
  <si>
    <t>Net Cashflow</t>
  </si>
  <si>
    <t>Cash Balance</t>
  </si>
  <si>
    <t>Sensitivity Analysis</t>
  </si>
  <si>
    <t>Add: Disposal of Assets</t>
  </si>
  <si>
    <t>Historical</t>
  </si>
  <si>
    <t>Forecasted</t>
  </si>
  <si>
    <t>Assumptions</t>
  </si>
  <si>
    <t>Asset Schedule</t>
  </si>
  <si>
    <t>Debt Schedule</t>
  </si>
  <si>
    <t>CF</t>
  </si>
  <si>
    <t>Assumptions, P&amp;L</t>
  </si>
  <si>
    <t>Note: In PDF, this sheet is named as "Other Calc". Have renamed it to "Equity Schedule" for better understanding</t>
  </si>
  <si>
    <t>Equity Schedule</t>
  </si>
  <si>
    <t>Assumptions or from here</t>
  </si>
  <si>
    <t>Ignore this (Seems got left by mistake in template)</t>
  </si>
  <si>
    <t>Test with 5 years and then replace back to Original Value 10 yrs</t>
  </si>
  <si>
    <t>P&amp;L</t>
  </si>
  <si>
    <t>BS</t>
  </si>
  <si>
    <t>ctrl+r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</si>
</sst>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_(* #,##0.00_);_(* \(#,##0.00\);_(* &quot;-&quot;??_);_(@_)"/>
    <numFmt numFmtId="166" formatCode="_(* #,##0_);_(* \(#,##0\);_(* &quot;-&quot;??_);_(@_)"/>
    <numFmt numFmtId="167" formatCode="0.0%"/>
    <numFmt numFmtId="169" formatCode="_ * #,##0.000_ ;_ * \-#,##0.000_ ;_ * &quot;-&quot;??_ ;_ @_ "/>
    <numFmt numFmtId="171" formatCode="0.0"/>
    <numFmt numFmtId="172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b/>
      <sz val="10"/>
      <name val="Arial"/>
      <family val="2"/>
    </font>
    <font>
      <sz val="10"/>
      <color indexed="48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C00000"/>
      <name val="Arial"/>
      <family val="2"/>
    </font>
    <font>
      <sz val="10"/>
      <color theme="5" tint="-0.249977111117893"/>
      <name val="Arial"/>
      <family val="2"/>
    </font>
    <font>
      <sz val="11"/>
      <color theme="5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color rgb="FFC00000"/>
      <name val="Arial"/>
      <family val="2"/>
    </font>
    <font>
      <i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3" fillId="2" borderId="1" xfId="0" applyFont="1" applyFill="1" applyBorder="1" applyAlignment="1">
      <alignment horizontal="right"/>
    </xf>
    <xf numFmtId="0" fontId="0" fillId="2" borderId="0" xfId="0" applyFill="1"/>
    <xf numFmtId="0" fontId="3" fillId="2" borderId="0" xfId="0" applyFont="1" applyFill="1"/>
    <xf numFmtId="166" fontId="4" fillId="2" borderId="0" xfId="1" applyNumberFormat="1" applyFont="1" applyFill="1"/>
    <xf numFmtId="166" fontId="0" fillId="2" borderId="0" xfId="1" applyNumberFormat="1" applyFont="1" applyFill="1"/>
    <xf numFmtId="166" fontId="4" fillId="2" borderId="1" xfId="1" applyNumberFormat="1" applyFont="1" applyFill="1" applyBorder="1"/>
    <xf numFmtId="166" fontId="0" fillId="2" borderId="1" xfId="1" applyNumberFormat="1" applyFont="1" applyFill="1" applyBorder="1"/>
    <xf numFmtId="166" fontId="3" fillId="2" borderId="0" xfId="1" applyNumberFormat="1" applyFont="1" applyFill="1"/>
    <xf numFmtId="0" fontId="3" fillId="2" borderId="2" xfId="0" applyFont="1" applyFill="1" applyBorder="1"/>
    <xf numFmtId="166" fontId="0" fillId="2" borderId="0" xfId="0" applyNumberFormat="1" applyFill="1"/>
    <xf numFmtId="164" fontId="0" fillId="2" borderId="0" xfId="1" applyFont="1" applyFill="1"/>
    <xf numFmtId="166" fontId="9" fillId="2" borderId="0" xfId="1" applyNumberFormat="1" applyFont="1" applyFill="1"/>
    <xf numFmtId="167" fontId="4" fillId="2" borderId="0" xfId="2" applyNumberFormat="1" applyFont="1" applyFill="1"/>
    <xf numFmtId="166" fontId="9" fillId="2" borderId="1" xfId="1" applyNumberFormat="1" applyFont="1" applyFill="1" applyBorder="1"/>
    <xf numFmtId="0" fontId="8" fillId="2" borderId="0" xfId="0" applyFont="1" applyFill="1"/>
    <xf numFmtId="165" fontId="0" fillId="2" borderId="0" xfId="0" applyNumberFormat="1" applyFill="1"/>
    <xf numFmtId="0" fontId="5" fillId="2" borderId="0" xfId="0" applyFont="1" applyFill="1" applyAlignment="1">
      <alignment horizontal="right"/>
    </xf>
    <xf numFmtId="167" fontId="0" fillId="2" borderId="0" xfId="2" applyNumberFormat="1" applyFont="1" applyFill="1"/>
    <xf numFmtId="0" fontId="5" fillId="2" borderId="1" xfId="0" applyFont="1" applyFill="1" applyBorder="1" applyAlignment="1">
      <alignment horizontal="right"/>
    </xf>
    <xf numFmtId="167" fontId="0" fillId="2" borderId="1" xfId="2" applyNumberFormat="1" applyFont="1" applyFill="1" applyBorder="1"/>
    <xf numFmtId="167" fontId="4" fillId="2" borderId="1" xfId="2" applyNumberFormat="1" applyFont="1" applyFill="1" applyBorder="1"/>
    <xf numFmtId="0" fontId="0" fillId="2" borderId="0" xfId="0" applyFill="1" applyAlignment="1">
      <alignment horizontal="left" indent="1"/>
    </xf>
    <xf numFmtId="0" fontId="3" fillId="2" borderId="1" xfId="0" applyFont="1" applyFill="1" applyBorder="1"/>
    <xf numFmtId="0" fontId="8" fillId="2" borderId="1" xfId="0" applyFont="1" applyFill="1" applyBorder="1"/>
    <xf numFmtId="9" fontId="4" fillId="2" borderId="0" xfId="0" applyNumberFormat="1" applyFont="1" applyFill="1"/>
    <xf numFmtId="9" fontId="9" fillId="2" borderId="0" xfId="0" applyNumberFormat="1" applyFont="1" applyFill="1"/>
    <xf numFmtId="167" fontId="4" fillId="2" borderId="0" xfId="0" applyNumberFormat="1" applyFont="1" applyFill="1"/>
    <xf numFmtId="164" fontId="4" fillId="2" borderId="0" xfId="1" applyFont="1" applyFill="1"/>
    <xf numFmtId="1" fontId="0" fillId="2" borderId="0" xfId="0" applyNumberFormat="1" applyFill="1"/>
    <xf numFmtId="169" fontId="0" fillId="2" borderId="0" xfId="0" applyNumberFormat="1" applyFill="1"/>
    <xf numFmtId="0" fontId="6" fillId="2" borderId="0" xfId="0" applyFont="1" applyFill="1"/>
    <xf numFmtId="9" fontId="0" fillId="2" borderId="0" xfId="0" applyNumberFormat="1" applyFill="1"/>
    <xf numFmtId="0" fontId="5" fillId="2" borderId="1" xfId="0" applyFont="1" applyFill="1" applyBorder="1"/>
    <xf numFmtId="0" fontId="3" fillId="2" borderId="3" xfId="0" applyFont="1" applyFill="1" applyBorder="1"/>
    <xf numFmtId="166" fontId="3" fillId="2" borderId="3" xfId="1" applyNumberFormat="1" applyFont="1" applyFill="1" applyBorder="1"/>
    <xf numFmtId="166" fontId="7" fillId="2" borderId="0" xfId="1" applyNumberFormat="1" applyFont="1" applyFill="1"/>
    <xf numFmtId="9" fontId="0" fillId="2" borderId="0" xfId="1" applyNumberFormat="1" applyFont="1" applyFill="1"/>
    <xf numFmtId="0" fontId="0" fillId="2" borderId="1" xfId="0" applyFill="1" applyBorder="1" applyAlignment="1">
      <alignment horizontal="left" indent="1"/>
    </xf>
    <xf numFmtId="0" fontId="3" fillId="2" borderId="0" xfId="0" applyFont="1" applyFill="1" applyAlignment="1">
      <alignment horizontal="left" indent="1"/>
    </xf>
    <xf numFmtId="167" fontId="0" fillId="0" borderId="0" xfId="2" applyNumberFormat="1" applyFont="1" applyFill="1"/>
    <xf numFmtId="0" fontId="2" fillId="2" borderId="0" xfId="0" applyFont="1" applyFill="1"/>
    <xf numFmtId="0" fontId="10" fillId="5" borderId="1" xfId="0" applyFont="1" applyFill="1" applyBorder="1" applyAlignment="1">
      <alignment horizontal="right"/>
    </xf>
    <xf numFmtId="166" fontId="3" fillId="3" borderId="0" xfId="1" applyNumberFormat="1" applyFont="1" applyFill="1"/>
    <xf numFmtId="166" fontId="3" fillId="3" borderId="0" xfId="0" applyNumberFormat="1" applyFont="1" applyFill="1"/>
    <xf numFmtId="166" fontId="3" fillId="3" borderId="2" xfId="0" applyNumberFormat="1" applyFont="1" applyFill="1" applyBorder="1"/>
    <xf numFmtId="166" fontId="3" fillId="3" borderId="2" xfId="1" applyNumberFormat="1" applyFont="1" applyFill="1" applyBorder="1"/>
    <xf numFmtId="166" fontId="9" fillId="3" borderId="0" xfId="1" applyNumberFormat="1" applyFont="1" applyFill="1"/>
    <xf numFmtId="167" fontId="0" fillId="3" borderId="0" xfId="2" applyNumberFormat="1" applyFont="1" applyFill="1"/>
    <xf numFmtId="167" fontId="0" fillId="3" borderId="1" xfId="2" applyNumberFormat="1" applyFont="1" applyFill="1" applyBorder="1"/>
    <xf numFmtId="166" fontId="8" fillId="3" borderId="0" xfId="1" applyNumberFormat="1" applyFont="1" applyFill="1"/>
    <xf numFmtId="0" fontId="11" fillId="6" borderId="0" xfId="0" applyFont="1" applyFill="1" applyAlignment="1">
      <alignment horizontal="centerContinuous"/>
    </xf>
    <xf numFmtId="0" fontId="11" fillId="7" borderId="0" xfId="0" applyFont="1" applyFill="1" applyAlignment="1">
      <alignment horizontal="centerContinuous"/>
    </xf>
    <xf numFmtId="0" fontId="0" fillId="7" borderId="0" xfId="0" applyFill="1" applyAlignment="1">
      <alignment horizontal="centerContinuous"/>
    </xf>
    <xf numFmtId="166" fontId="0" fillId="3" borderId="0" xfId="1" applyNumberFormat="1" applyFont="1" applyFill="1"/>
    <xf numFmtId="166" fontId="0" fillId="3" borderId="1" xfId="1" applyNumberFormat="1" applyFont="1" applyFill="1" applyBorder="1"/>
    <xf numFmtId="166" fontId="3" fillId="3" borderId="3" xfId="0" applyNumberFormat="1" applyFont="1" applyFill="1" applyBorder="1"/>
    <xf numFmtId="0" fontId="0" fillId="3" borderId="1" xfId="0" applyFill="1" applyBorder="1"/>
    <xf numFmtId="0" fontId="15" fillId="2" borderId="0" xfId="0" applyFont="1" applyFill="1"/>
    <xf numFmtId="167" fontId="13" fillId="2" borderId="0" xfId="2" applyNumberFormat="1" applyFont="1" applyFill="1"/>
    <xf numFmtId="167" fontId="13" fillId="2" borderId="1" xfId="2" applyNumberFormat="1" applyFont="1" applyFill="1" applyBorder="1"/>
    <xf numFmtId="167" fontId="11" fillId="2" borderId="1" xfId="2" applyNumberFormat="1" applyFont="1" applyFill="1" applyBorder="1"/>
    <xf numFmtId="166" fontId="14" fillId="8" borderId="1" xfId="1" applyNumberFormat="1" applyFont="1" applyFill="1" applyBorder="1"/>
    <xf numFmtId="166" fontId="12" fillId="2" borderId="0" xfId="1" applyNumberFormat="1" applyFont="1" applyFill="1"/>
    <xf numFmtId="166" fontId="16" fillId="8" borderId="0" xfId="1" applyNumberFormat="1" applyFont="1" applyFill="1"/>
    <xf numFmtId="166" fontId="16" fillId="3" borderId="1" xfId="1" applyNumberFormat="1" applyFont="1" applyFill="1" applyBorder="1"/>
    <xf numFmtId="166" fontId="16" fillId="8" borderId="1" xfId="1" applyNumberFormat="1" applyFont="1" applyFill="1" applyBorder="1"/>
    <xf numFmtId="166" fontId="11" fillId="2" borderId="0" xfId="1" applyNumberFormat="1" applyFont="1" applyFill="1"/>
    <xf numFmtId="0" fontId="17" fillId="2" borderId="1" xfId="0" applyFont="1" applyFill="1" applyBorder="1" applyAlignment="1">
      <alignment horizontal="right"/>
    </xf>
    <xf numFmtId="166" fontId="16" fillId="3" borderId="0" xfId="1" applyNumberFormat="1" applyFont="1" applyFill="1"/>
    <xf numFmtId="166" fontId="16" fillId="0" borderId="0" xfId="1" applyNumberFormat="1" applyFont="1" applyFill="1"/>
    <xf numFmtId="0" fontId="0" fillId="3" borderId="0" xfId="0" applyFill="1"/>
    <xf numFmtId="0" fontId="8" fillId="6" borderId="0" xfId="0" applyFont="1" applyFill="1" applyAlignment="1">
      <alignment horizontal="left"/>
    </xf>
    <xf numFmtId="0" fontId="8" fillId="6" borderId="1" xfId="0" applyFont="1" applyFill="1" applyBorder="1" applyAlignment="1">
      <alignment horizontal="left"/>
    </xf>
    <xf numFmtId="0" fontId="18" fillId="2" borderId="0" xfId="0" applyFont="1" applyFill="1"/>
    <xf numFmtId="166" fontId="3" fillId="3" borderId="10" xfId="0" applyNumberFormat="1" applyFont="1" applyFill="1" applyBorder="1"/>
    <xf numFmtId="166" fontId="17" fillId="3" borderId="0" xfId="1" applyNumberFormat="1" applyFont="1" applyFill="1"/>
    <xf numFmtId="166" fontId="4" fillId="6" borderId="0" xfId="1" applyNumberFormat="1" applyFont="1" applyFill="1"/>
    <xf numFmtId="166" fontId="4" fillId="0" borderId="0" xfId="1" applyNumberFormat="1" applyFont="1" applyFill="1"/>
    <xf numFmtId="166" fontId="12" fillId="0" borderId="0" xfId="1" applyNumberFormat="1" applyFont="1" applyFill="1"/>
    <xf numFmtId="166" fontId="12" fillId="0" borderId="1" xfId="1" applyNumberFormat="1" applyFont="1" applyFill="1" applyBorder="1"/>
    <xf numFmtId="9" fontId="16" fillId="3" borderId="0" xfId="1" applyNumberFormat="1" applyFont="1" applyFill="1"/>
    <xf numFmtId="9" fontId="4" fillId="6" borderId="0" xfId="0" applyNumberFormat="1" applyFont="1" applyFill="1"/>
    <xf numFmtId="166" fontId="0" fillId="0" borderId="0" xfId="1" applyNumberFormat="1" applyFont="1" applyFill="1"/>
    <xf numFmtId="9" fontId="16" fillId="0" borderId="0" xfId="1" applyNumberFormat="1" applyFont="1" applyFill="1"/>
    <xf numFmtId="9" fontId="0" fillId="0" borderId="0" xfId="1" applyNumberFormat="1" applyFont="1" applyFill="1"/>
    <xf numFmtId="166" fontId="17" fillId="2" borderId="0" xfId="1" applyNumberFormat="1" applyFont="1" applyFill="1"/>
    <xf numFmtId="9" fontId="16" fillId="2" borderId="0" xfId="1" applyNumberFormat="1" applyFont="1" applyFill="1"/>
    <xf numFmtId="166" fontId="17" fillId="2" borderId="3" xfId="1" applyNumberFormat="1" applyFont="1" applyFill="1" applyBorder="1"/>
    <xf numFmtId="166" fontId="16" fillId="2" borderId="0" xfId="1" applyNumberFormat="1" applyFont="1" applyFill="1"/>
    <xf numFmtId="166" fontId="12" fillId="2" borderId="1" xfId="1" applyNumberFormat="1" applyFont="1" applyFill="1" applyBorder="1"/>
    <xf numFmtId="166" fontId="19" fillId="3" borderId="0" xfId="1" applyNumberFormat="1" applyFont="1" applyFill="1"/>
    <xf numFmtId="166" fontId="4" fillId="6" borderId="1" xfId="1" applyNumberFormat="1" applyFont="1" applyFill="1" applyBorder="1"/>
    <xf numFmtId="166" fontId="3" fillId="2" borderId="0" xfId="0" applyNumberFormat="1" applyFont="1" applyFill="1"/>
    <xf numFmtId="166" fontId="3" fillId="2" borderId="3" xfId="0" applyNumberFormat="1" applyFont="1" applyFill="1" applyBorder="1"/>
    <xf numFmtId="166" fontId="1" fillId="8" borderId="0" xfId="1" applyNumberFormat="1" applyFont="1" applyFill="1"/>
    <xf numFmtId="166" fontId="3" fillId="8" borderId="3" xfId="1" applyNumberFormat="1" applyFont="1" applyFill="1" applyBorder="1"/>
    <xf numFmtId="9" fontId="16" fillId="0" borderId="0" xfId="0" applyNumberFormat="1" applyFont="1"/>
    <xf numFmtId="167" fontId="20" fillId="4" borderId="4" xfId="0" applyNumberFormat="1" applyFont="1" applyFill="1" applyBorder="1"/>
    <xf numFmtId="167" fontId="20" fillId="4" borderId="8" xfId="0" applyNumberFormat="1" applyFont="1" applyFill="1" applyBorder="1"/>
    <xf numFmtId="10" fontId="20" fillId="4" borderId="8" xfId="0" applyNumberFormat="1" applyFont="1" applyFill="1" applyBorder="1"/>
    <xf numFmtId="171" fontId="6" fillId="5" borderId="4" xfId="0" applyNumberFormat="1" applyFont="1" applyFill="1" applyBorder="1"/>
    <xf numFmtId="172" fontId="0" fillId="3" borderId="4" xfId="2" applyNumberFormat="1" applyFont="1" applyFill="1" applyBorder="1"/>
    <xf numFmtId="10" fontId="0" fillId="2" borderId="0" xfId="0" applyNumberFormat="1" applyFill="1"/>
    <xf numFmtId="10" fontId="5" fillId="2" borderId="0" xfId="0" applyNumberFormat="1" applyFont="1" applyFill="1" applyAlignment="1">
      <alignment horizontal="right"/>
    </xf>
    <xf numFmtId="10" fontId="0" fillId="3" borderId="0" xfId="2" applyNumberFormat="1" applyFont="1" applyFill="1"/>
    <xf numFmtId="15" fontId="0" fillId="2" borderId="0" xfId="2" applyNumberFormat="1" applyFont="1" applyFill="1"/>
    <xf numFmtId="1" fontId="0" fillId="0" borderId="0" xfId="2" applyNumberFormat="1" applyFont="1" applyFill="1"/>
    <xf numFmtId="166" fontId="0" fillId="3" borderId="0" xfId="0" applyNumberFormat="1" applyFill="1"/>
    <xf numFmtId="0" fontId="0" fillId="5" borderId="0" xfId="0" applyFill="1"/>
    <xf numFmtId="166" fontId="5" fillId="9" borderId="0" xfId="0" applyNumberFormat="1" applyFont="1" applyFill="1"/>
    <xf numFmtId="1" fontId="0" fillId="2" borderId="1" xfId="0" applyNumberFormat="1" applyFill="1" applyBorder="1"/>
    <xf numFmtId="1" fontId="3" fillId="2" borderId="0" xfId="0" applyNumberFormat="1" applyFont="1" applyFill="1"/>
    <xf numFmtId="1" fontId="0" fillId="2" borderId="1" xfId="1" applyNumberFormat="1" applyFont="1" applyFill="1" applyBorder="1"/>
    <xf numFmtId="1" fontId="3" fillId="2" borderId="0" xfId="1" applyNumberFormat="1" applyFont="1" applyFill="1"/>
    <xf numFmtId="1" fontId="0" fillId="2" borderId="0" xfId="1" applyNumberFormat="1" applyFont="1" applyFill="1"/>
    <xf numFmtId="1" fontId="3" fillId="2" borderId="3" xfId="0" applyNumberFormat="1" applyFont="1" applyFill="1" applyBorder="1"/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"/>
  <sheetViews>
    <sheetView tabSelected="1" zoomScale="116" workbookViewId="0">
      <pane xSplit="4" ySplit="2" topLeftCell="G3" activePane="bottomRight" state="frozen"/>
      <selection pane="topRight" activeCell="E1" sqref="E1"/>
      <selection pane="bottomLeft" activeCell="A3" sqref="A3"/>
      <selection pane="bottomRight" activeCell="I7" sqref="I7"/>
    </sheetView>
  </sheetViews>
  <sheetFormatPr defaultRowHeight="14.4" outlineLevelRow="1" x14ac:dyDescent="0.3"/>
  <cols>
    <col min="1" max="1" width="3" style="4" customWidth="1"/>
    <col min="2" max="2" width="3.33203125" style="4" customWidth="1"/>
    <col min="3" max="3" width="40.6640625" style="4" customWidth="1"/>
    <col min="4" max="4" width="11" style="4" customWidth="1"/>
    <col min="5" max="5" width="12.88671875" style="4" bestFit="1" customWidth="1"/>
    <col min="6" max="6" width="12.88671875" style="4" customWidth="1"/>
    <col min="7" max="12" width="12.88671875" style="4" bestFit="1" customWidth="1"/>
    <col min="13" max="13" width="8.6640625" style="4" customWidth="1"/>
    <col min="14" max="252" width="9.109375" style="4"/>
    <col min="253" max="253" width="3" style="4" customWidth="1"/>
    <col min="254" max="254" width="3.33203125" style="4" customWidth="1"/>
    <col min="255" max="255" width="40.6640625" style="4" customWidth="1"/>
    <col min="256" max="256" width="11" style="4" customWidth="1"/>
    <col min="257" max="257" width="16.5546875" style="4" customWidth="1"/>
    <col min="258" max="259" width="11.33203125" style="4" bestFit="1" customWidth="1"/>
    <col min="260" max="260" width="12.88671875" style="4" customWidth="1"/>
    <col min="261" max="263" width="11.33203125" style="4" bestFit="1" customWidth="1"/>
    <col min="264" max="264" width="12.33203125" style="4" bestFit="1" customWidth="1"/>
    <col min="265" max="266" width="11.33203125" style="4" bestFit="1" customWidth="1"/>
    <col min="267" max="267" width="14" style="4" bestFit="1" customWidth="1"/>
    <col min="268" max="508" width="9.109375" style="4"/>
    <col min="509" max="509" width="3" style="4" customWidth="1"/>
    <col min="510" max="510" width="3.33203125" style="4" customWidth="1"/>
    <col min="511" max="511" width="40.6640625" style="4" customWidth="1"/>
    <col min="512" max="512" width="11" style="4" customWidth="1"/>
    <col min="513" max="513" width="16.5546875" style="4" customWidth="1"/>
    <col min="514" max="515" width="11.33203125" style="4" bestFit="1" customWidth="1"/>
    <col min="516" max="516" width="12.88671875" style="4" customWidth="1"/>
    <col min="517" max="519" width="11.33203125" style="4" bestFit="1" customWidth="1"/>
    <col min="520" max="520" width="12.33203125" style="4" bestFit="1" customWidth="1"/>
    <col min="521" max="522" width="11.33203125" style="4" bestFit="1" customWidth="1"/>
    <col min="523" max="523" width="14" style="4" bestFit="1" customWidth="1"/>
    <col min="524" max="764" width="9.109375" style="4"/>
    <col min="765" max="765" width="3" style="4" customWidth="1"/>
    <col min="766" max="766" width="3.33203125" style="4" customWidth="1"/>
    <col min="767" max="767" width="40.6640625" style="4" customWidth="1"/>
    <col min="768" max="768" width="11" style="4" customWidth="1"/>
    <col min="769" max="769" width="16.5546875" style="4" customWidth="1"/>
    <col min="770" max="771" width="11.33203125" style="4" bestFit="1" customWidth="1"/>
    <col min="772" max="772" width="12.88671875" style="4" customWidth="1"/>
    <col min="773" max="775" width="11.33203125" style="4" bestFit="1" customWidth="1"/>
    <col min="776" max="776" width="12.33203125" style="4" bestFit="1" customWidth="1"/>
    <col min="777" max="778" width="11.33203125" style="4" bestFit="1" customWidth="1"/>
    <col min="779" max="779" width="14" style="4" bestFit="1" customWidth="1"/>
    <col min="780" max="1020" width="9.109375" style="4"/>
    <col min="1021" max="1021" width="3" style="4" customWidth="1"/>
    <col min="1022" max="1022" width="3.33203125" style="4" customWidth="1"/>
    <col min="1023" max="1023" width="40.6640625" style="4" customWidth="1"/>
    <col min="1024" max="1024" width="11" style="4" customWidth="1"/>
    <col min="1025" max="1025" width="16.5546875" style="4" customWidth="1"/>
    <col min="1026" max="1027" width="11.33203125" style="4" bestFit="1" customWidth="1"/>
    <col min="1028" max="1028" width="12.88671875" style="4" customWidth="1"/>
    <col min="1029" max="1031" width="11.33203125" style="4" bestFit="1" customWidth="1"/>
    <col min="1032" max="1032" width="12.33203125" style="4" bestFit="1" customWidth="1"/>
    <col min="1033" max="1034" width="11.33203125" style="4" bestFit="1" customWidth="1"/>
    <col min="1035" max="1035" width="14" style="4" bestFit="1" customWidth="1"/>
    <col min="1036" max="1276" width="9.109375" style="4"/>
    <col min="1277" max="1277" width="3" style="4" customWidth="1"/>
    <col min="1278" max="1278" width="3.33203125" style="4" customWidth="1"/>
    <col min="1279" max="1279" width="40.6640625" style="4" customWidth="1"/>
    <col min="1280" max="1280" width="11" style="4" customWidth="1"/>
    <col min="1281" max="1281" width="16.5546875" style="4" customWidth="1"/>
    <col min="1282" max="1283" width="11.33203125" style="4" bestFit="1" customWidth="1"/>
    <col min="1284" max="1284" width="12.88671875" style="4" customWidth="1"/>
    <col min="1285" max="1287" width="11.33203125" style="4" bestFit="1" customWidth="1"/>
    <col min="1288" max="1288" width="12.33203125" style="4" bestFit="1" customWidth="1"/>
    <col min="1289" max="1290" width="11.33203125" style="4" bestFit="1" customWidth="1"/>
    <col min="1291" max="1291" width="14" style="4" bestFit="1" customWidth="1"/>
    <col min="1292" max="1532" width="9.109375" style="4"/>
    <col min="1533" max="1533" width="3" style="4" customWidth="1"/>
    <col min="1534" max="1534" width="3.33203125" style="4" customWidth="1"/>
    <col min="1535" max="1535" width="40.6640625" style="4" customWidth="1"/>
    <col min="1536" max="1536" width="11" style="4" customWidth="1"/>
    <col min="1537" max="1537" width="16.5546875" style="4" customWidth="1"/>
    <col min="1538" max="1539" width="11.33203125" style="4" bestFit="1" customWidth="1"/>
    <col min="1540" max="1540" width="12.88671875" style="4" customWidth="1"/>
    <col min="1541" max="1543" width="11.33203125" style="4" bestFit="1" customWidth="1"/>
    <col min="1544" max="1544" width="12.33203125" style="4" bestFit="1" customWidth="1"/>
    <col min="1545" max="1546" width="11.33203125" style="4" bestFit="1" customWidth="1"/>
    <col min="1547" max="1547" width="14" style="4" bestFit="1" customWidth="1"/>
    <col min="1548" max="1788" width="9.109375" style="4"/>
    <col min="1789" max="1789" width="3" style="4" customWidth="1"/>
    <col min="1790" max="1790" width="3.33203125" style="4" customWidth="1"/>
    <col min="1791" max="1791" width="40.6640625" style="4" customWidth="1"/>
    <col min="1792" max="1792" width="11" style="4" customWidth="1"/>
    <col min="1793" max="1793" width="16.5546875" style="4" customWidth="1"/>
    <col min="1794" max="1795" width="11.33203125" style="4" bestFit="1" customWidth="1"/>
    <col min="1796" max="1796" width="12.88671875" style="4" customWidth="1"/>
    <col min="1797" max="1799" width="11.33203125" style="4" bestFit="1" customWidth="1"/>
    <col min="1800" max="1800" width="12.33203125" style="4" bestFit="1" customWidth="1"/>
    <col min="1801" max="1802" width="11.33203125" style="4" bestFit="1" customWidth="1"/>
    <col min="1803" max="1803" width="14" style="4" bestFit="1" customWidth="1"/>
    <col min="1804" max="2044" width="9.109375" style="4"/>
    <col min="2045" max="2045" width="3" style="4" customWidth="1"/>
    <col min="2046" max="2046" width="3.33203125" style="4" customWidth="1"/>
    <col min="2047" max="2047" width="40.6640625" style="4" customWidth="1"/>
    <col min="2048" max="2048" width="11" style="4" customWidth="1"/>
    <col min="2049" max="2049" width="16.5546875" style="4" customWidth="1"/>
    <col min="2050" max="2051" width="11.33203125" style="4" bestFit="1" customWidth="1"/>
    <col min="2052" max="2052" width="12.88671875" style="4" customWidth="1"/>
    <col min="2053" max="2055" width="11.33203125" style="4" bestFit="1" customWidth="1"/>
    <col min="2056" max="2056" width="12.33203125" style="4" bestFit="1" customWidth="1"/>
    <col min="2057" max="2058" width="11.33203125" style="4" bestFit="1" customWidth="1"/>
    <col min="2059" max="2059" width="14" style="4" bestFit="1" customWidth="1"/>
    <col min="2060" max="2300" width="9.109375" style="4"/>
    <col min="2301" max="2301" width="3" style="4" customWidth="1"/>
    <col min="2302" max="2302" width="3.33203125" style="4" customWidth="1"/>
    <col min="2303" max="2303" width="40.6640625" style="4" customWidth="1"/>
    <col min="2304" max="2304" width="11" style="4" customWidth="1"/>
    <col min="2305" max="2305" width="16.5546875" style="4" customWidth="1"/>
    <col min="2306" max="2307" width="11.33203125" style="4" bestFit="1" customWidth="1"/>
    <col min="2308" max="2308" width="12.88671875" style="4" customWidth="1"/>
    <col min="2309" max="2311" width="11.33203125" style="4" bestFit="1" customWidth="1"/>
    <col min="2312" max="2312" width="12.33203125" style="4" bestFit="1" customWidth="1"/>
    <col min="2313" max="2314" width="11.33203125" style="4" bestFit="1" customWidth="1"/>
    <col min="2315" max="2315" width="14" style="4" bestFit="1" customWidth="1"/>
    <col min="2316" max="2556" width="9.109375" style="4"/>
    <col min="2557" max="2557" width="3" style="4" customWidth="1"/>
    <col min="2558" max="2558" width="3.33203125" style="4" customWidth="1"/>
    <col min="2559" max="2559" width="40.6640625" style="4" customWidth="1"/>
    <col min="2560" max="2560" width="11" style="4" customWidth="1"/>
    <col min="2561" max="2561" width="16.5546875" style="4" customWidth="1"/>
    <col min="2562" max="2563" width="11.33203125" style="4" bestFit="1" customWidth="1"/>
    <col min="2564" max="2564" width="12.88671875" style="4" customWidth="1"/>
    <col min="2565" max="2567" width="11.33203125" style="4" bestFit="1" customWidth="1"/>
    <col min="2568" max="2568" width="12.33203125" style="4" bestFit="1" customWidth="1"/>
    <col min="2569" max="2570" width="11.33203125" style="4" bestFit="1" customWidth="1"/>
    <col min="2571" max="2571" width="14" style="4" bestFit="1" customWidth="1"/>
    <col min="2572" max="2812" width="9.109375" style="4"/>
    <col min="2813" max="2813" width="3" style="4" customWidth="1"/>
    <col min="2814" max="2814" width="3.33203125" style="4" customWidth="1"/>
    <col min="2815" max="2815" width="40.6640625" style="4" customWidth="1"/>
    <col min="2816" max="2816" width="11" style="4" customWidth="1"/>
    <col min="2817" max="2817" width="16.5546875" style="4" customWidth="1"/>
    <col min="2818" max="2819" width="11.33203125" style="4" bestFit="1" customWidth="1"/>
    <col min="2820" max="2820" width="12.88671875" style="4" customWidth="1"/>
    <col min="2821" max="2823" width="11.33203125" style="4" bestFit="1" customWidth="1"/>
    <col min="2824" max="2824" width="12.33203125" style="4" bestFit="1" customWidth="1"/>
    <col min="2825" max="2826" width="11.33203125" style="4" bestFit="1" customWidth="1"/>
    <col min="2827" max="2827" width="14" style="4" bestFit="1" customWidth="1"/>
    <col min="2828" max="3068" width="9.109375" style="4"/>
    <col min="3069" max="3069" width="3" style="4" customWidth="1"/>
    <col min="3070" max="3070" width="3.33203125" style="4" customWidth="1"/>
    <col min="3071" max="3071" width="40.6640625" style="4" customWidth="1"/>
    <col min="3072" max="3072" width="11" style="4" customWidth="1"/>
    <col min="3073" max="3073" width="16.5546875" style="4" customWidth="1"/>
    <col min="3074" max="3075" width="11.33203125" style="4" bestFit="1" customWidth="1"/>
    <col min="3076" max="3076" width="12.88671875" style="4" customWidth="1"/>
    <col min="3077" max="3079" width="11.33203125" style="4" bestFit="1" customWidth="1"/>
    <col min="3080" max="3080" width="12.33203125" style="4" bestFit="1" customWidth="1"/>
    <col min="3081" max="3082" width="11.33203125" style="4" bestFit="1" customWidth="1"/>
    <col min="3083" max="3083" width="14" style="4" bestFit="1" customWidth="1"/>
    <col min="3084" max="3324" width="9.109375" style="4"/>
    <col min="3325" max="3325" width="3" style="4" customWidth="1"/>
    <col min="3326" max="3326" width="3.33203125" style="4" customWidth="1"/>
    <col min="3327" max="3327" width="40.6640625" style="4" customWidth="1"/>
    <col min="3328" max="3328" width="11" style="4" customWidth="1"/>
    <col min="3329" max="3329" width="16.5546875" style="4" customWidth="1"/>
    <col min="3330" max="3331" width="11.33203125" style="4" bestFit="1" customWidth="1"/>
    <col min="3332" max="3332" width="12.88671875" style="4" customWidth="1"/>
    <col min="3333" max="3335" width="11.33203125" style="4" bestFit="1" customWidth="1"/>
    <col min="3336" max="3336" width="12.33203125" style="4" bestFit="1" customWidth="1"/>
    <col min="3337" max="3338" width="11.33203125" style="4" bestFit="1" customWidth="1"/>
    <col min="3339" max="3339" width="14" style="4" bestFit="1" customWidth="1"/>
    <col min="3340" max="3580" width="9.109375" style="4"/>
    <col min="3581" max="3581" width="3" style="4" customWidth="1"/>
    <col min="3582" max="3582" width="3.33203125" style="4" customWidth="1"/>
    <col min="3583" max="3583" width="40.6640625" style="4" customWidth="1"/>
    <col min="3584" max="3584" width="11" style="4" customWidth="1"/>
    <col min="3585" max="3585" width="16.5546875" style="4" customWidth="1"/>
    <col min="3586" max="3587" width="11.33203125" style="4" bestFit="1" customWidth="1"/>
    <col min="3588" max="3588" width="12.88671875" style="4" customWidth="1"/>
    <col min="3589" max="3591" width="11.33203125" style="4" bestFit="1" customWidth="1"/>
    <col min="3592" max="3592" width="12.33203125" style="4" bestFit="1" customWidth="1"/>
    <col min="3593" max="3594" width="11.33203125" style="4" bestFit="1" customWidth="1"/>
    <col min="3595" max="3595" width="14" style="4" bestFit="1" customWidth="1"/>
    <col min="3596" max="3836" width="9.109375" style="4"/>
    <col min="3837" max="3837" width="3" style="4" customWidth="1"/>
    <col min="3838" max="3838" width="3.33203125" style="4" customWidth="1"/>
    <col min="3839" max="3839" width="40.6640625" style="4" customWidth="1"/>
    <col min="3840" max="3840" width="11" style="4" customWidth="1"/>
    <col min="3841" max="3841" width="16.5546875" style="4" customWidth="1"/>
    <col min="3842" max="3843" width="11.33203125" style="4" bestFit="1" customWidth="1"/>
    <col min="3844" max="3844" width="12.88671875" style="4" customWidth="1"/>
    <col min="3845" max="3847" width="11.33203125" style="4" bestFit="1" customWidth="1"/>
    <col min="3848" max="3848" width="12.33203125" style="4" bestFit="1" customWidth="1"/>
    <col min="3849" max="3850" width="11.33203125" style="4" bestFit="1" customWidth="1"/>
    <col min="3851" max="3851" width="14" style="4" bestFit="1" customWidth="1"/>
    <col min="3852" max="4092" width="9.109375" style="4"/>
    <col min="4093" max="4093" width="3" style="4" customWidth="1"/>
    <col min="4094" max="4094" width="3.33203125" style="4" customWidth="1"/>
    <col min="4095" max="4095" width="40.6640625" style="4" customWidth="1"/>
    <col min="4096" max="4096" width="11" style="4" customWidth="1"/>
    <col min="4097" max="4097" width="16.5546875" style="4" customWidth="1"/>
    <col min="4098" max="4099" width="11.33203125" style="4" bestFit="1" customWidth="1"/>
    <col min="4100" max="4100" width="12.88671875" style="4" customWidth="1"/>
    <col min="4101" max="4103" width="11.33203125" style="4" bestFit="1" customWidth="1"/>
    <col min="4104" max="4104" width="12.33203125" style="4" bestFit="1" customWidth="1"/>
    <col min="4105" max="4106" width="11.33203125" style="4" bestFit="1" customWidth="1"/>
    <col min="4107" max="4107" width="14" style="4" bestFit="1" customWidth="1"/>
    <col min="4108" max="4348" width="9.109375" style="4"/>
    <col min="4349" max="4349" width="3" style="4" customWidth="1"/>
    <col min="4350" max="4350" width="3.33203125" style="4" customWidth="1"/>
    <col min="4351" max="4351" width="40.6640625" style="4" customWidth="1"/>
    <col min="4352" max="4352" width="11" style="4" customWidth="1"/>
    <col min="4353" max="4353" width="16.5546875" style="4" customWidth="1"/>
    <col min="4354" max="4355" width="11.33203125" style="4" bestFit="1" customWidth="1"/>
    <col min="4356" max="4356" width="12.88671875" style="4" customWidth="1"/>
    <col min="4357" max="4359" width="11.33203125" style="4" bestFit="1" customWidth="1"/>
    <col min="4360" max="4360" width="12.33203125" style="4" bestFit="1" customWidth="1"/>
    <col min="4361" max="4362" width="11.33203125" style="4" bestFit="1" customWidth="1"/>
    <col min="4363" max="4363" width="14" style="4" bestFit="1" customWidth="1"/>
    <col min="4364" max="4604" width="9.109375" style="4"/>
    <col min="4605" max="4605" width="3" style="4" customWidth="1"/>
    <col min="4606" max="4606" width="3.33203125" style="4" customWidth="1"/>
    <col min="4607" max="4607" width="40.6640625" style="4" customWidth="1"/>
    <col min="4608" max="4608" width="11" style="4" customWidth="1"/>
    <col min="4609" max="4609" width="16.5546875" style="4" customWidth="1"/>
    <col min="4610" max="4611" width="11.33203125" style="4" bestFit="1" customWidth="1"/>
    <col min="4612" max="4612" width="12.88671875" style="4" customWidth="1"/>
    <col min="4613" max="4615" width="11.33203125" style="4" bestFit="1" customWidth="1"/>
    <col min="4616" max="4616" width="12.33203125" style="4" bestFit="1" customWidth="1"/>
    <col min="4617" max="4618" width="11.33203125" style="4" bestFit="1" customWidth="1"/>
    <col min="4619" max="4619" width="14" style="4" bestFit="1" customWidth="1"/>
    <col min="4620" max="4860" width="9.109375" style="4"/>
    <col min="4861" max="4861" width="3" style="4" customWidth="1"/>
    <col min="4862" max="4862" width="3.33203125" style="4" customWidth="1"/>
    <col min="4863" max="4863" width="40.6640625" style="4" customWidth="1"/>
    <col min="4864" max="4864" width="11" style="4" customWidth="1"/>
    <col min="4865" max="4865" width="16.5546875" style="4" customWidth="1"/>
    <col min="4866" max="4867" width="11.33203125" style="4" bestFit="1" customWidth="1"/>
    <col min="4868" max="4868" width="12.88671875" style="4" customWidth="1"/>
    <col min="4869" max="4871" width="11.33203125" style="4" bestFit="1" customWidth="1"/>
    <col min="4872" max="4872" width="12.33203125" style="4" bestFit="1" customWidth="1"/>
    <col min="4873" max="4874" width="11.33203125" style="4" bestFit="1" customWidth="1"/>
    <col min="4875" max="4875" width="14" style="4" bestFit="1" customWidth="1"/>
    <col min="4876" max="5116" width="9.109375" style="4"/>
    <col min="5117" max="5117" width="3" style="4" customWidth="1"/>
    <col min="5118" max="5118" width="3.33203125" style="4" customWidth="1"/>
    <col min="5119" max="5119" width="40.6640625" style="4" customWidth="1"/>
    <col min="5120" max="5120" width="11" style="4" customWidth="1"/>
    <col min="5121" max="5121" width="16.5546875" style="4" customWidth="1"/>
    <col min="5122" max="5123" width="11.33203125" style="4" bestFit="1" customWidth="1"/>
    <col min="5124" max="5124" width="12.88671875" style="4" customWidth="1"/>
    <col min="5125" max="5127" width="11.33203125" style="4" bestFit="1" customWidth="1"/>
    <col min="5128" max="5128" width="12.33203125" style="4" bestFit="1" customWidth="1"/>
    <col min="5129" max="5130" width="11.33203125" style="4" bestFit="1" customWidth="1"/>
    <col min="5131" max="5131" width="14" style="4" bestFit="1" customWidth="1"/>
    <col min="5132" max="5372" width="9.109375" style="4"/>
    <col min="5373" max="5373" width="3" style="4" customWidth="1"/>
    <col min="5374" max="5374" width="3.33203125" style="4" customWidth="1"/>
    <col min="5375" max="5375" width="40.6640625" style="4" customWidth="1"/>
    <col min="5376" max="5376" width="11" style="4" customWidth="1"/>
    <col min="5377" max="5377" width="16.5546875" style="4" customWidth="1"/>
    <col min="5378" max="5379" width="11.33203125" style="4" bestFit="1" customWidth="1"/>
    <col min="5380" max="5380" width="12.88671875" style="4" customWidth="1"/>
    <col min="5381" max="5383" width="11.33203125" style="4" bestFit="1" customWidth="1"/>
    <col min="5384" max="5384" width="12.33203125" style="4" bestFit="1" customWidth="1"/>
    <col min="5385" max="5386" width="11.33203125" style="4" bestFit="1" customWidth="1"/>
    <col min="5387" max="5387" width="14" style="4" bestFit="1" customWidth="1"/>
    <col min="5388" max="5628" width="9.109375" style="4"/>
    <col min="5629" max="5629" width="3" style="4" customWidth="1"/>
    <col min="5630" max="5630" width="3.33203125" style="4" customWidth="1"/>
    <col min="5631" max="5631" width="40.6640625" style="4" customWidth="1"/>
    <col min="5632" max="5632" width="11" style="4" customWidth="1"/>
    <col min="5633" max="5633" width="16.5546875" style="4" customWidth="1"/>
    <col min="5634" max="5635" width="11.33203125" style="4" bestFit="1" customWidth="1"/>
    <col min="5636" max="5636" width="12.88671875" style="4" customWidth="1"/>
    <col min="5637" max="5639" width="11.33203125" style="4" bestFit="1" customWidth="1"/>
    <col min="5640" max="5640" width="12.33203125" style="4" bestFit="1" customWidth="1"/>
    <col min="5641" max="5642" width="11.33203125" style="4" bestFit="1" customWidth="1"/>
    <col min="5643" max="5643" width="14" style="4" bestFit="1" customWidth="1"/>
    <col min="5644" max="5884" width="9.109375" style="4"/>
    <col min="5885" max="5885" width="3" style="4" customWidth="1"/>
    <col min="5886" max="5886" width="3.33203125" style="4" customWidth="1"/>
    <col min="5887" max="5887" width="40.6640625" style="4" customWidth="1"/>
    <col min="5888" max="5888" width="11" style="4" customWidth="1"/>
    <col min="5889" max="5889" width="16.5546875" style="4" customWidth="1"/>
    <col min="5890" max="5891" width="11.33203125" style="4" bestFit="1" customWidth="1"/>
    <col min="5892" max="5892" width="12.88671875" style="4" customWidth="1"/>
    <col min="5893" max="5895" width="11.33203125" style="4" bestFit="1" customWidth="1"/>
    <col min="5896" max="5896" width="12.33203125" style="4" bestFit="1" customWidth="1"/>
    <col min="5897" max="5898" width="11.33203125" style="4" bestFit="1" customWidth="1"/>
    <col min="5899" max="5899" width="14" style="4" bestFit="1" customWidth="1"/>
    <col min="5900" max="6140" width="9.109375" style="4"/>
    <col min="6141" max="6141" width="3" style="4" customWidth="1"/>
    <col min="6142" max="6142" width="3.33203125" style="4" customWidth="1"/>
    <col min="6143" max="6143" width="40.6640625" style="4" customWidth="1"/>
    <col min="6144" max="6144" width="11" style="4" customWidth="1"/>
    <col min="6145" max="6145" width="16.5546875" style="4" customWidth="1"/>
    <col min="6146" max="6147" width="11.33203125" style="4" bestFit="1" customWidth="1"/>
    <col min="6148" max="6148" width="12.88671875" style="4" customWidth="1"/>
    <col min="6149" max="6151" width="11.33203125" style="4" bestFit="1" customWidth="1"/>
    <col min="6152" max="6152" width="12.33203125" style="4" bestFit="1" customWidth="1"/>
    <col min="6153" max="6154" width="11.33203125" style="4" bestFit="1" customWidth="1"/>
    <col min="6155" max="6155" width="14" style="4" bestFit="1" customWidth="1"/>
    <col min="6156" max="6396" width="9.109375" style="4"/>
    <col min="6397" max="6397" width="3" style="4" customWidth="1"/>
    <col min="6398" max="6398" width="3.33203125" style="4" customWidth="1"/>
    <col min="6399" max="6399" width="40.6640625" style="4" customWidth="1"/>
    <col min="6400" max="6400" width="11" style="4" customWidth="1"/>
    <col min="6401" max="6401" width="16.5546875" style="4" customWidth="1"/>
    <col min="6402" max="6403" width="11.33203125" style="4" bestFit="1" customWidth="1"/>
    <col min="6404" max="6404" width="12.88671875" style="4" customWidth="1"/>
    <col min="6405" max="6407" width="11.33203125" style="4" bestFit="1" customWidth="1"/>
    <col min="6408" max="6408" width="12.33203125" style="4" bestFit="1" customWidth="1"/>
    <col min="6409" max="6410" width="11.33203125" style="4" bestFit="1" customWidth="1"/>
    <col min="6411" max="6411" width="14" style="4" bestFit="1" customWidth="1"/>
    <col min="6412" max="6652" width="9.109375" style="4"/>
    <col min="6653" max="6653" width="3" style="4" customWidth="1"/>
    <col min="6654" max="6654" width="3.33203125" style="4" customWidth="1"/>
    <col min="6655" max="6655" width="40.6640625" style="4" customWidth="1"/>
    <col min="6656" max="6656" width="11" style="4" customWidth="1"/>
    <col min="6657" max="6657" width="16.5546875" style="4" customWidth="1"/>
    <col min="6658" max="6659" width="11.33203125" style="4" bestFit="1" customWidth="1"/>
    <col min="6660" max="6660" width="12.88671875" style="4" customWidth="1"/>
    <col min="6661" max="6663" width="11.33203125" style="4" bestFit="1" customWidth="1"/>
    <col min="6664" max="6664" width="12.33203125" style="4" bestFit="1" customWidth="1"/>
    <col min="6665" max="6666" width="11.33203125" style="4" bestFit="1" customWidth="1"/>
    <col min="6667" max="6667" width="14" style="4" bestFit="1" customWidth="1"/>
    <col min="6668" max="6908" width="9.109375" style="4"/>
    <col min="6909" max="6909" width="3" style="4" customWidth="1"/>
    <col min="6910" max="6910" width="3.33203125" style="4" customWidth="1"/>
    <col min="6911" max="6911" width="40.6640625" style="4" customWidth="1"/>
    <col min="6912" max="6912" width="11" style="4" customWidth="1"/>
    <col min="6913" max="6913" width="16.5546875" style="4" customWidth="1"/>
    <col min="6914" max="6915" width="11.33203125" style="4" bestFit="1" customWidth="1"/>
    <col min="6916" max="6916" width="12.88671875" style="4" customWidth="1"/>
    <col min="6917" max="6919" width="11.33203125" style="4" bestFit="1" customWidth="1"/>
    <col min="6920" max="6920" width="12.33203125" style="4" bestFit="1" customWidth="1"/>
    <col min="6921" max="6922" width="11.33203125" style="4" bestFit="1" customWidth="1"/>
    <col min="6923" max="6923" width="14" style="4" bestFit="1" customWidth="1"/>
    <col min="6924" max="7164" width="9.109375" style="4"/>
    <col min="7165" max="7165" width="3" style="4" customWidth="1"/>
    <col min="7166" max="7166" width="3.33203125" style="4" customWidth="1"/>
    <col min="7167" max="7167" width="40.6640625" style="4" customWidth="1"/>
    <col min="7168" max="7168" width="11" style="4" customWidth="1"/>
    <col min="7169" max="7169" width="16.5546875" style="4" customWidth="1"/>
    <col min="7170" max="7171" width="11.33203125" style="4" bestFit="1" customWidth="1"/>
    <col min="7172" max="7172" width="12.88671875" style="4" customWidth="1"/>
    <col min="7173" max="7175" width="11.33203125" style="4" bestFit="1" customWidth="1"/>
    <col min="7176" max="7176" width="12.33203125" style="4" bestFit="1" customWidth="1"/>
    <col min="7177" max="7178" width="11.33203125" style="4" bestFit="1" customWidth="1"/>
    <col min="7179" max="7179" width="14" style="4" bestFit="1" customWidth="1"/>
    <col min="7180" max="7420" width="9.109375" style="4"/>
    <col min="7421" max="7421" width="3" style="4" customWidth="1"/>
    <col min="7422" max="7422" width="3.33203125" style="4" customWidth="1"/>
    <col min="7423" max="7423" width="40.6640625" style="4" customWidth="1"/>
    <col min="7424" max="7424" width="11" style="4" customWidth="1"/>
    <col min="7425" max="7425" width="16.5546875" style="4" customWidth="1"/>
    <col min="7426" max="7427" width="11.33203125" style="4" bestFit="1" customWidth="1"/>
    <col min="7428" max="7428" width="12.88671875" style="4" customWidth="1"/>
    <col min="7429" max="7431" width="11.33203125" style="4" bestFit="1" customWidth="1"/>
    <col min="7432" max="7432" width="12.33203125" style="4" bestFit="1" customWidth="1"/>
    <col min="7433" max="7434" width="11.33203125" style="4" bestFit="1" customWidth="1"/>
    <col min="7435" max="7435" width="14" style="4" bestFit="1" customWidth="1"/>
    <col min="7436" max="7676" width="9.109375" style="4"/>
    <col min="7677" max="7677" width="3" style="4" customWidth="1"/>
    <col min="7678" max="7678" width="3.33203125" style="4" customWidth="1"/>
    <col min="7679" max="7679" width="40.6640625" style="4" customWidth="1"/>
    <col min="7680" max="7680" width="11" style="4" customWidth="1"/>
    <col min="7681" max="7681" width="16.5546875" style="4" customWidth="1"/>
    <col min="7682" max="7683" width="11.33203125" style="4" bestFit="1" customWidth="1"/>
    <col min="7684" max="7684" width="12.88671875" style="4" customWidth="1"/>
    <col min="7685" max="7687" width="11.33203125" style="4" bestFit="1" customWidth="1"/>
    <col min="7688" max="7688" width="12.33203125" style="4" bestFit="1" customWidth="1"/>
    <col min="7689" max="7690" width="11.33203125" style="4" bestFit="1" customWidth="1"/>
    <col min="7691" max="7691" width="14" style="4" bestFit="1" customWidth="1"/>
    <col min="7692" max="7932" width="9.109375" style="4"/>
    <col min="7933" max="7933" width="3" style="4" customWidth="1"/>
    <col min="7934" max="7934" width="3.33203125" style="4" customWidth="1"/>
    <col min="7935" max="7935" width="40.6640625" style="4" customWidth="1"/>
    <col min="7936" max="7936" width="11" style="4" customWidth="1"/>
    <col min="7937" max="7937" width="16.5546875" style="4" customWidth="1"/>
    <col min="7938" max="7939" width="11.33203125" style="4" bestFit="1" customWidth="1"/>
    <col min="7940" max="7940" width="12.88671875" style="4" customWidth="1"/>
    <col min="7941" max="7943" width="11.33203125" style="4" bestFit="1" customWidth="1"/>
    <col min="7944" max="7944" width="12.33203125" style="4" bestFit="1" customWidth="1"/>
    <col min="7945" max="7946" width="11.33203125" style="4" bestFit="1" customWidth="1"/>
    <col min="7947" max="7947" width="14" style="4" bestFit="1" customWidth="1"/>
    <col min="7948" max="8188" width="9.109375" style="4"/>
    <col min="8189" max="8189" width="3" style="4" customWidth="1"/>
    <col min="8190" max="8190" width="3.33203125" style="4" customWidth="1"/>
    <col min="8191" max="8191" width="40.6640625" style="4" customWidth="1"/>
    <col min="8192" max="8192" width="11" style="4" customWidth="1"/>
    <col min="8193" max="8193" width="16.5546875" style="4" customWidth="1"/>
    <col min="8194" max="8195" width="11.33203125" style="4" bestFit="1" customWidth="1"/>
    <col min="8196" max="8196" width="12.88671875" style="4" customWidth="1"/>
    <col min="8197" max="8199" width="11.33203125" style="4" bestFit="1" customWidth="1"/>
    <col min="8200" max="8200" width="12.33203125" style="4" bestFit="1" customWidth="1"/>
    <col min="8201" max="8202" width="11.33203125" style="4" bestFit="1" customWidth="1"/>
    <col min="8203" max="8203" width="14" style="4" bestFit="1" customWidth="1"/>
    <col min="8204" max="8444" width="9.109375" style="4"/>
    <col min="8445" max="8445" width="3" style="4" customWidth="1"/>
    <col min="8446" max="8446" width="3.33203125" style="4" customWidth="1"/>
    <col min="8447" max="8447" width="40.6640625" style="4" customWidth="1"/>
    <col min="8448" max="8448" width="11" style="4" customWidth="1"/>
    <col min="8449" max="8449" width="16.5546875" style="4" customWidth="1"/>
    <col min="8450" max="8451" width="11.33203125" style="4" bestFit="1" customWidth="1"/>
    <col min="8452" max="8452" width="12.88671875" style="4" customWidth="1"/>
    <col min="8453" max="8455" width="11.33203125" style="4" bestFit="1" customWidth="1"/>
    <col min="8456" max="8456" width="12.33203125" style="4" bestFit="1" customWidth="1"/>
    <col min="8457" max="8458" width="11.33203125" style="4" bestFit="1" customWidth="1"/>
    <col min="8459" max="8459" width="14" style="4" bestFit="1" customWidth="1"/>
    <col min="8460" max="8700" width="9.109375" style="4"/>
    <col min="8701" max="8701" width="3" style="4" customWidth="1"/>
    <col min="8702" max="8702" width="3.33203125" style="4" customWidth="1"/>
    <col min="8703" max="8703" width="40.6640625" style="4" customWidth="1"/>
    <col min="8704" max="8704" width="11" style="4" customWidth="1"/>
    <col min="8705" max="8705" width="16.5546875" style="4" customWidth="1"/>
    <col min="8706" max="8707" width="11.33203125" style="4" bestFit="1" customWidth="1"/>
    <col min="8708" max="8708" width="12.88671875" style="4" customWidth="1"/>
    <col min="8709" max="8711" width="11.33203125" style="4" bestFit="1" customWidth="1"/>
    <col min="8712" max="8712" width="12.33203125" style="4" bestFit="1" customWidth="1"/>
    <col min="8713" max="8714" width="11.33203125" style="4" bestFit="1" customWidth="1"/>
    <col min="8715" max="8715" width="14" style="4" bestFit="1" customWidth="1"/>
    <col min="8716" max="8956" width="9.109375" style="4"/>
    <col min="8957" max="8957" width="3" style="4" customWidth="1"/>
    <col min="8958" max="8958" width="3.33203125" style="4" customWidth="1"/>
    <col min="8959" max="8959" width="40.6640625" style="4" customWidth="1"/>
    <col min="8960" max="8960" width="11" style="4" customWidth="1"/>
    <col min="8961" max="8961" width="16.5546875" style="4" customWidth="1"/>
    <col min="8962" max="8963" width="11.33203125" style="4" bestFit="1" customWidth="1"/>
    <col min="8964" max="8964" width="12.88671875" style="4" customWidth="1"/>
    <col min="8965" max="8967" width="11.33203125" style="4" bestFit="1" customWidth="1"/>
    <col min="8968" max="8968" width="12.33203125" style="4" bestFit="1" customWidth="1"/>
    <col min="8969" max="8970" width="11.33203125" style="4" bestFit="1" customWidth="1"/>
    <col min="8971" max="8971" width="14" style="4" bestFit="1" customWidth="1"/>
    <col min="8972" max="9212" width="9.109375" style="4"/>
    <col min="9213" max="9213" width="3" style="4" customWidth="1"/>
    <col min="9214" max="9214" width="3.33203125" style="4" customWidth="1"/>
    <col min="9215" max="9215" width="40.6640625" style="4" customWidth="1"/>
    <col min="9216" max="9216" width="11" style="4" customWidth="1"/>
    <col min="9217" max="9217" width="16.5546875" style="4" customWidth="1"/>
    <col min="9218" max="9219" width="11.33203125" style="4" bestFit="1" customWidth="1"/>
    <col min="9220" max="9220" width="12.88671875" style="4" customWidth="1"/>
    <col min="9221" max="9223" width="11.33203125" style="4" bestFit="1" customWidth="1"/>
    <col min="9224" max="9224" width="12.33203125" style="4" bestFit="1" customWidth="1"/>
    <col min="9225" max="9226" width="11.33203125" style="4" bestFit="1" customWidth="1"/>
    <col min="9227" max="9227" width="14" style="4" bestFit="1" customWidth="1"/>
    <col min="9228" max="9468" width="9.109375" style="4"/>
    <col min="9469" max="9469" width="3" style="4" customWidth="1"/>
    <col min="9470" max="9470" width="3.33203125" style="4" customWidth="1"/>
    <col min="9471" max="9471" width="40.6640625" style="4" customWidth="1"/>
    <col min="9472" max="9472" width="11" style="4" customWidth="1"/>
    <col min="9473" max="9473" width="16.5546875" style="4" customWidth="1"/>
    <col min="9474" max="9475" width="11.33203125" style="4" bestFit="1" customWidth="1"/>
    <col min="9476" max="9476" width="12.88671875" style="4" customWidth="1"/>
    <col min="9477" max="9479" width="11.33203125" style="4" bestFit="1" customWidth="1"/>
    <col min="9480" max="9480" width="12.33203125" style="4" bestFit="1" customWidth="1"/>
    <col min="9481" max="9482" width="11.33203125" style="4" bestFit="1" customWidth="1"/>
    <col min="9483" max="9483" width="14" style="4" bestFit="1" customWidth="1"/>
    <col min="9484" max="9724" width="9.109375" style="4"/>
    <col min="9725" max="9725" width="3" style="4" customWidth="1"/>
    <col min="9726" max="9726" width="3.33203125" style="4" customWidth="1"/>
    <col min="9727" max="9727" width="40.6640625" style="4" customWidth="1"/>
    <col min="9728" max="9728" width="11" style="4" customWidth="1"/>
    <col min="9729" max="9729" width="16.5546875" style="4" customWidth="1"/>
    <col min="9730" max="9731" width="11.33203125" style="4" bestFit="1" customWidth="1"/>
    <col min="9732" max="9732" width="12.88671875" style="4" customWidth="1"/>
    <col min="9733" max="9735" width="11.33203125" style="4" bestFit="1" customWidth="1"/>
    <col min="9736" max="9736" width="12.33203125" style="4" bestFit="1" customWidth="1"/>
    <col min="9737" max="9738" width="11.33203125" style="4" bestFit="1" customWidth="1"/>
    <col min="9739" max="9739" width="14" style="4" bestFit="1" customWidth="1"/>
    <col min="9740" max="9980" width="9.109375" style="4"/>
    <col min="9981" max="9981" width="3" style="4" customWidth="1"/>
    <col min="9982" max="9982" width="3.33203125" style="4" customWidth="1"/>
    <col min="9983" max="9983" width="40.6640625" style="4" customWidth="1"/>
    <col min="9984" max="9984" width="11" style="4" customWidth="1"/>
    <col min="9985" max="9985" width="16.5546875" style="4" customWidth="1"/>
    <col min="9986" max="9987" width="11.33203125" style="4" bestFit="1" customWidth="1"/>
    <col min="9988" max="9988" width="12.88671875" style="4" customWidth="1"/>
    <col min="9989" max="9991" width="11.33203125" style="4" bestFit="1" customWidth="1"/>
    <col min="9992" max="9992" width="12.33203125" style="4" bestFit="1" customWidth="1"/>
    <col min="9993" max="9994" width="11.33203125" style="4" bestFit="1" customWidth="1"/>
    <col min="9995" max="9995" width="14" style="4" bestFit="1" customWidth="1"/>
    <col min="9996" max="10236" width="9.109375" style="4"/>
    <col min="10237" max="10237" width="3" style="4" customWidth="1"/>
    <col min="10238" max="10238" width="3.33203125" style="4" customWidth="1"/>
    <col min="10239" max="10239" width="40.6640625" style="4" customWidth="1"/>
    <col min="10240" max="10240" width="11" style="4" customWidth="1"/>
    <col min="10241" max="10241" width="16.5546875" style="4" customWidth="1"/>
    <col min="10242" max="10243" width="11.33203125" style="4" bestFit="1" customWidth="1"/>
    <col min="10244" max="10244" width="12.88671875" style="4" customWidth="1"/>
    <col min="10245" max="10247" width="11.33203125" style="4" bestFit="1" customWidth="1"/>
    <col min="10248" max="10248" width="12.33203125" style="4" bestFit="1" customWidth="1"/>
    <col min="10249" max="10250" width="11.33203125" style="4" bestFit="1" customWidth="1"/>
    <col min="10251" max="10251" width="14" style="4" bestFit="1" customWidth="1"/>
    <col min="10252" max="10492" width="9.109375" style="4"/>
    <col min="10493" max="10493" width="3" style="4" customWidth="1"/>
    <col min="10494" max="10494" width="3.33203125" style="4" customWidth="1"/>
    <col min="10495" max="10495" width="40.6640625" style="4" customWidth="1"/>
    <col min="10496" max="10496" width="11" style="4" customWidth="1"/>
    <col min="10497" max="10497" width="16.5546875" style="4" customWidth="1"/>
    <col min="10498" max="10499" width="11.33203125" style="4" bestFit="1" customWidth="1"/>
    <col min="10500" max="10500" width="12.88671875" style="4" customWidth="1"/>
    <col min="10501" max="10503" width="11.33203125" style="4" bestFit="1" customWidth="1"/>
    <col min="10504" max="10504" width="12.33203125" style="4" bestFit="1" customWidth="1"/>
    <col min="10505" max="10506" width="11.33203125" style="4" bestFit="1" customWidth="1"/>
    <col min="10507" max="10507" width="14" style="4" bestFit="1" customWidth="1"/>
    <col min="10508" max="10748" width="9.109375" style="4"/>
    <col min="10749" max="10749" width="3" style="4" customWidth="1"/>
    <col min="10750" max="10750" width="3.33203125" style="4" customWidth="1"/>
    <col min="10751" max="10751" width="40.6640625" style="4" customWidth="1"/>
    <col min="10752" max="10752" width="11" style="4" customWidth="1"/>
    <col min="10753" max="10753" width="16.5546875" style="4" customWidth="1"/>
    <col min="10754" max="10755" width="11.33203125" style="4" bestFit="1" customWidth="1"/>
    <col min="10756" max="10756" width="12.88671875" style="4" customWidth="1"/>
    <col min="10757" max="10759" width="11.33203125" style="4" bestFit="1" customWidth="1"/>
    <col min="10760" max="10760" width="12.33203125" style="4" bestFit="1" customWidth="1"/>
    <col min="10761" max="10762" width="11.33203125" style="4" bestFit="1" customWidth="1"/>
    <col min="10763" max="10763" width="14" style="4" bestFit="1" customWidth="1"/>
    <col min="10764" max="11004" width="9.109375" style="4"/>
    <col min="11005" max="11005" width="3" style="4" customWidth="1"/>
    <col min="11006" max="11006" width="3.33203125" style="4" customWidth="1"/>
    <col min="11007" max="11007" width="40.6640625" style="4" customWidth="1"/>
    <col min="11008" max="11008" width="11" style="4" customWidth="1"/>
    <col min="11009" max="11009" width="16.5546875" style="4" customWidth="1"/>
    <col min="11010" max="11011" width="11.33203125" style="4" bestFit="1" customWidth="1"/>
    <col min="11012" max="11012" width="12.88671875" style="4" customWidth="1"/>
    <col min="11013" max="11015" width="11.33203125" style="4" bestFit="1" customWidth="1"/>
    <col min="11016" max="11016" width="12.33203125" style="4" bestFit="1" customWidth="1"/>
    <col min="11017" max="11018" width="11.33203125" style="4" bestFit="1" customWidth="1"/>
    <col min="11019" max="11019" width="14" style="4" bestFit="1" customWidth="1"/>
    <col min="11020" max="11260" width="9.109375" style="4"/>
    <col min="11261" max="11261" width="3" style="4" customWidth="1"/>
    <col min="11262" max="11262" width="3.33203125" style="4" customWidth="1"/>
    <col min="11263" max="11263" width="40.6640625" style="4" customWidth="1"/>
    <col min="11264" max="11264" width="11" style="4" customWidth="1"/>
    <col min="11265" max="11265" width="16.5546875" style="4" customWidth="1"/>
    <col min="11266" max="11267" width="11.33203125" style="4" bestFit="1" customWidth="1"/>
    <col min="11268" max="11268" width="12.88671875" style="4" customWidth="1"/>
    <col min="11269" max="11271" width="11.33203125" style="4" bestFit="1" customWidth="1"/>
    <col min="11272" max="11272" width="12.33203125" style="4" bestFit="1" customWidth="1"/>
    <col min="11273" max="11274" width="11.33203125" style="4" bestFit="1" customWidth="1"/>
    <col min="11275" max="11275" width="14" style="4" bestFit="1" customWidth="1"/>
    <col min="11276" max="11516" width="9.109375" style="4"/>
    <col min="11517" max="11517" width="3" style="4" customWidth="1"/>
    <col min="11518" max="11518" width="3.33203125" style="4" customWidth="1"/>
    <col min="11519" max="11519" width="40.6640625" style="4" customWidth="1"/>
    <col min="11520" max="11520" width="11" style="4" customWidth="1"/>
    <col min="11521" max="11521" width="16.5546875" style="4" customWidth="1"/>
    <col min="11522" max="11523" width="11.33203125" style="4" bestFit="1" customWidth="1"/>
    <col min="11524" max="11524" width="12.88671875" style="4" customWidth="1"/>
    <col min="11525" max="11527" width="11.33203125" style="4" bestFit="1" customWidth="1"/>
    <col min="11528" max="11528" width="12.33203125" style="4" bestFit="1" customWidth="1"/>
    <col min="11529" max="11530" width="11.33203125" style="4" bestFit="1" customWidth="1"/>
    <col min="11531" max="11531" width="14" style="4" bestFit="1" customWidth="1"/>
    <col min="11532" max="11772" width="9.109375" style="4"/>
    <col min="11773" max="11773" width="3" style="4" customWidth="1"/>
    <col min="11774" max="11774" width="3.33203125" style="4" customWidth="1"/>
    <col min="11775" max="11775" width="40.6640625" style="4" customWidth="1"/>
    <col min="11776" max="11776" width="11" style="4" customWidth="1"/>
    <col min="11777" max="11777" width="16.5546875" style="4" customWidth="1"/>
    <col min="11778" max="11779" width="11.33203125" style="4" bestFit="1" customWidth="1"/>
    <col min="11780" max="11780" width="12.88671875" style="4" customWidth="1"/>
    <col min="11781" max="11783" width="11.33203125" style="4" bestFit="1" customWidth="1"/>
    <col min="11784" max="11784" width="12.33203125" style="4" bestFit="1" customWidth="1"/>
    <col min="11785" max="11786" width="11.33203125" style="4" bestFit="1" customWidth="1"/>
    <col min="11787" max="11787" width="14" style="4" bestFit="1" customWidth="1"/>
    <col min="11788" max="12028" width="9.109375" style="4"/>
    <col min="12029" max="12029" width="3" style="4" customWidth="1"/>
    <col min="12030" max="12030" width="3.33203125" style="4" customWidth="1"/>
    <col min="12031" max="12031" width="40.6640625" style="4" customWidth="1"/>
    <col min="12032" max="12032" width="11" style="4" customWidth="1"/>
    <col min="12033" max="12033" width="16.5546875" style="4" customWidth="1"/>
    <col min="12034" max="12035" width="11.33203125" style="4" bestFit="1" customWidth="1"/>
    <col min="12036" max="12036" width="12.88671875" style="4" customWidth="1"/>
    <col min="12037" max="12039" width="11.33203125" style="4" bestFit="1" customWidth="1"/>
    <col min="12040" max="12040" width="12.33203125" style="4" bestFit="1" customWidth="1"/>
    <col min="12041" max="12042" width="11.33203125" style="4" bestFit="1" customWidth="1"/>
    <col min="12043" max="12043" width="14" style="4" bestFit="1" customWidth="1"/>
    <col min="12044" max="12284" width="9.109375" style="4"/>
    <col min="12285" max="12285" width="3" style="4" customWidth="1"/>
    <col min="12286" max="12286" width="3.33203125" style="4" customWidth="1"/>
    <col min="12287" max="12287" width="40.6640625" style="4" customWidth="1"/>
    <col min="12288" max="12288" width="11" style="4" customWidth="1"/>
    <col min="12289" max="12289" width="16.5546875" style="4" customWidth="1"/>
    <col min="12290" max="12291" width="11.33203125" style="4" bestFit="1" customWidth="1"/>
    <col min="12292" max="12292" width="12.88671875" style="4" customWidth="1"/>
    <col min="12293" max="12295" width="11.33203125" style="4" bestFit="1" customWidth="1"/>
    <col min="12296" max="12296" width="12.33203125" style="4" bestFit="1" customWidth="1"/>
    <col min="12297" max="12298" width="11.33203125" style="4" bestFit="1" customWidth="1"/>
    <col min="12299" max="12299" width="14" style="4" bestFit="1" customWidth="1"/>
    <col min="12300" max="12540" width="9.109375" style="4"/>
    <col min="12541" max="12541" width="3" style="4" customWidth="1"/>
    <col min="12542" max="12542" width="3.33203125" style="4" customWidth="1"/>
    <col min="12543" max="12543" width="40.6640625" style="4" customWidth="1"/>
    <col min="12544" max="12544" width="11" style="4" customWidth="1"/>
    <col min="12545" max="12545" width="16.5546875" style="4" customWidth="1"/>
    <col min="12546" max="12547" width="11.33203125" style="4" bestFit="1" customWidth="1"/>
    <col min="12548" max="12548" width="12.88671875" style="4" customWidth="1"/>
    <col min="12549" max="12551" width="11.33203125" style="4" bestFit="1" customWidth="1"/>
    <col min="12552" max="12552" width="12.33203125" style="4" bestFit="1" customWidth="1"/>
    <col min="12553" max="12554" width="11.33203125" style="4" bestFit="1" customWidth="1"/>
    <col min="12555" max="12555" width="14" style="4" bestFit="1" customWidth="1"/>
    <col min="12556" max="12796" width="9.109375" style="4"/>
    <col min="12797" max="12797" width="3" style="4" customWidth="1"/>
    <col min="12798" max="12798" width="3.33203125" style="4" customWidth="1"/>
    <col min="12799" max="12799" width="40.6640625" style="4" customWidth="1"/>
    <col min="12800" max="12800" width="11" style="4" customWidth="1"/>
    <col min="12801" max="12801" width="16.5546875" style="4" customWidth="1"/>
    <col min="12802" max="12803" width="11.33203125" style="4" bestFit="1" customWidth="1"/>
    <col min="12804" max="12804" width="12.88671875" style="4" customWidth="1"/>
    <col min="12805" max="12807" width="11.33203125" style="4" bestFit="1" customWidth="1"/>
    <col min="12808" max="12808" width="12.33203125" style="4" bestFit="1" customWidth="1"/>
    <col min="12809" max="12810" width="11.33203125" style="4" bestFit="1" customWidth="1"/>
    <col min="12811" max="12811" width="14" style="4" bestFit="1" customWidth="1"/>
    <col min="12812" max="13052" width="9.109375" style="4"/>
    <col min="13053" max="13053" width="3" style="4" customWidth="1"/>
    <col min="13054" max="13054" width="3.33203125" style="4" customWidth="1"/>
    <col min="13055" max="13055" width="40.6640625" style="4" customWidth="1"/>
    <col min="13056" max="13056" width="11" style="4" customWidth="1"/>
    <col min="13057" max="13057" width="16.5546875" style="4" customWidth="1"/>
    <col min="13058" max="13059" width="11.33203125" style="4" bestFit="1" customWidth="1"/>
    <col min="13060" max="13060" width="12.88671875" style="4" customWidth="1"/>
    <col min="13061" max="13063" width="11.33203125" style="4" bestFit="1" customWidth="1"/>
    <col min="13064" max="13064" width="12.33203125" style="4" bestFit="1" customWidth="1"/>
    <col min="13065" max="13066" width="11.33203125" style="4" bestFit="1" customWidth="1"/>
    <col min="13067" max="13067" width="14" style="4" bestFit="1" customWidth="1"/>
    <col min="13068" max="13308" width="9.109375" style="4"/>
    <col min="13309" max="13309" width="3" style="4" customWidth="1"/>
    <col min="13310" max="13310" width="3.33203125" style="4" customWidth="1"/>
    <col min="13311" max="13311" width="40.6640625" style="4" customWidth="1"/>
    <col min="13312" max="13312" width="11" style="4" customWidth="1"/>
    <col min="13313" max="13313" width="16.5546875" style="4" customWidth="1"/>
    <col min="13314" max="13315" width="11.33203125" style="4" bestFit="1" customWidth="1"/>
    <col min="13316" max="13316" width="12.88671875" style="4" customWidth="1"/>
    <col min="13317" max="13319" width="11.33203125" style="4" bestFit="1" customWidth="1"/>
    <col min="13320" max="13320" width="12.33203125" style="4" bestFit="1" customWidth="1"/>
    <col min="13321" max="13322" width="11.33203125" style="4" bestFit="1" customWidth="1"/>
    <col min="13323" max="13323" width="14" style="4" bestFit="1" customWidth="1"/>
    <col min="13324" max="13564" width="9.109375" style="4"/>
    <col min="13565" max="13565" width="3" style="4" customWidth="1"/>
    <col min="13566" max="13566" width="3.33203125" style="4" customWidth="1"/>
    <col min="13567" max="13567" width="40.6640625" style="4" customWidth="1"/>
    <col min="13568" max="13568" width="11" style="4" customWidth="1"/>
    <col min="13569" max="13569" width="16.5546875" style="4" customWidth="1"/>
    <col min="13570" max="13571" width="11.33203125" style="4" bestFit="1" customWidth="1"/>
    <col min="13572" max="13572" width="12.88671875" style="4" customWidth="1"/>
    <col min="13573" max="13575" width="11.33203125" style="4" bestFit="1" customWidth="1"/>
    <col min="13576" max="13576" width="12.33203125" style="4" bestFit="1" customWidth="1"/>
    <col min="13577" max="13578" width="11.33203125" style="4" bestFit="1" customWidth="1"/>
    <col min="13579" max="13579" width="14" style="4" bestFit="1" customWidth="1"/>
    <col min="13580" max="13820" width="9.109375" style="4"/>
    <col min="13821" max="13821" width="3" style="4" customWidth="1"/>
    <col min="13822" max="13822" width="3.33203125" style="4" customWidth="1"/>
    <col min="13823" max="13823" width="40.6640625" style="4" customWidth="1"/>
    <col min="13824" max="13824" width="11" style="4" customWidth="1"/>
    <col min="13825" max="13825" width="16.5546875" style="4" customWidth="1"/>
    <col min="13826" max="13827" width="11.33203125" style="4" bestFit="1" customWidth="1"/>
    <col min="13828" max="13828" width="12.88671875" style="4" customWidth="1"/>
    <col min="13829" max="13831" width="11.33203125" style="4" bestFit="1" customWidth="1"/>
    <col min="13832" max="13832" width="12.33203125" style="4" bestFit="1" customWidth="1"/>
    <col min="13833" max="13834" width="11.33203125" style="4" bestFit="1" customWidth="1"/>
    <col min="13835" max="13835" width="14" style="4" bestFit="1" customWidth="1"/>
    <col min="13836" max="14076" width="9.109375" style="4"/>
    <col min="14077" max="14077" width="3" style="4" customWidth="1"/>
    <col min="14078" max="14078" width="3.33203125" style="4" customWidth="1"/>
    <col min="14079" max="14079" width="40.6640625" style="4" customWidth="1"/>
    <col min="14080" max="14080" width="11" style="4" customWidth="1"/>
    <col min="14081" max="14081" width="16.5546875" style="4" customWidth="1"/>
    <col min="14082" max="14083" width="11.33203125" style="4" bestFit="1" customWidth="1"/>
    <col min="14084" max="14084" width="12.88671875" style="4" customWidth="1"/>
    <col min="14085" max="14087" width="11.33203125" style="4" bestFit="1" customWidth="1"/>
    <col min="14088" max="14088" width="12.33203125" style="4" bestFit="1" customWidth="1"/>
    <col min="14089" max="14090" width="11.33203125" style="4" bestFit="1" customWidth="1"/>
    <col min="14091" max="14091" width="14" style="4" bestFit="1" customWidth="1"/>
    <col min="14092" max="14332" width="9.109375" style="4"/>
    <col min="14333" max="14333" width="3" style="4" customWidth="1"/>
    <col min="14334" max="14334" width="3.33203125" style="4" customWidth="1"/>
    <col min="14335" max="14335" width="40.6640625" style="4" customWidth="1"/>
    <col min="14336" max="14336" width="11" style="4" customWidth="1"/>
    <col min="14337" max="14337" width="16.5546875" style="4" customWidth="1"/>
    <col min="14338" max="14339" width="11.33203125" style="4" bestFit="1" customWidth="1"/>
    <col min="14340" max="14340" width="12.88671875" style="4" customWidth="1"/>
    <col min="14341" max="14343" width="11.33203125" style="4" bestFit="1" customWidth="1"/>
    <col min="14344" max="14344" width="12.33203125" style="4" bestFit="1" customWidth="1"/>
    <col min="14345" max="14346" width="11.33203125" style="4" bestFit="1" customWidth="1"/>
    <col min="14347" max="14347" width="14" style="4" bestFit="1" customWidth="1"/>
    <col min="14348" max="14588" width="9.109375" style="4"/>
    <col min="14589" max="14589" width="3" style="4" customWidth="1"/>
    <col min="14590" max="14590" width="3.33203125" style="4" customWidth="1"/>
    <col min="14591" max="14591" width="40.6640625" style="4" customWidth="1"/>
    <col min="14592" max="14592" width="11" style="4" customWidth="1"/>
    <col min="14593" max="14593" width="16.5546875" style="4" customWidth="1"/>
    <col min="14594" max="14595" width="11.33203125" style="4" bestFit="1" customWidth="1"/>
    <col min="14596" max="14596" width="12.88671875" style="4" customWidth="1"/>
    <col min="14597" max="14599" width="11.33203125" style="4" bestFit="1" customWidth="1"/>
    <col min="14600" max="14600" width="12.33203125" style="4" bestFit="1" customWidth="1"/>
    <col min="14601" max="14602" width="11.33203125" style="4" bestFit="1" customWidth="1"/>
    <col min="14603" max="14603" width="14" style="4" bestFit="1" customWidth="1"/>
    <col min="14604" max="14844" width="9.109375" style="4"/>
    <col min="14845" max="14845" width="3" style="4" customWidth="1"/>
    <col min="14846" max="14846" width="3.33203125" style="4" customWidth="1"/>
    <col min="14847" max="14847" width="40.6640625" style="4" customWidth="1"/>
    <col min="14848" max="14848" width="11" style="4" customWidth="1"/>
    <col min="14849" max="14849" width="16.5546875" style="4" customWidth="1"/>
    <col min="14850" max="14851" width="11.33203125" style="4" bestFit="1" customWidth="1"/>
    <col min="14852" max="14852" width="12.88671875" style="4" customWidth="1"/>
    <col min="14853" max="14855" width="11.33203125" style="4" bestFit="1" customWidth="1"/>
    <col min="14856" max="14856" width="12.33203125" style="4" bestFit="1" customWidth="1"/>
    <col min="14857" max="14858" width="11.33203125" style="4" bestFit="1" customWidth="1"/>
    <col min="14859" max="14859" width="14" style="4" bestFit="1" customWidth="1"/>
    <col min="14860" max="15100" width="9.109375" style="4"/>
    <col min="15101" max="15101" width="3" style="4" customWidth="1"/>
    <col min="15102" max="15102" width="3.33203125" style="4" customWidth="1"/>
    <col min="15103" max="15103" width="40.6640625" style="4" customWidth="1"/>
    <col min="15104" max="15104" width="11" style="4" customWidth="1"/>
    <col min="15105" max="15105" width="16.5546875" style="4" customWidth="1"/>
    <col min="15106" max="15107" width="11.33203125" style="4" bestFit="1" customWidth="1"/>
    <col min="15108" max="15108" width="12.88671875" style="4" customWidth="1"/>
    <col min="15109" max="15111" width="11.33203125" style="4" bestFit="1" customWidth="1"/>
    <col min="15112" max="15112" width="12.33203125" style="4" bestFit="1" customWidth="1"/>
    <col min="15113" max="15114" width="11.33203125" style="4" bestFit="1" customWidth="1"/>
    <col min="15115" max="15115" width="14" style="4" bestFit="1" customWidth="1"/>
    <col min="15116" max="15356" width="9.109375" style="4"/>
    <col min="15357" max="15357" width="3" style="4" customWidth="1"/>
    <col min="15358" max="15358" width="3.33203125" style="4" customWidth="1"/>
    <col min="15359" max="15359" width="40.6640625" style="4" customWidth="1"/>
    <col min="15360" max="15360" width="11" style="4" customWidth="1"/>
    <col min="15361" max="15361" width="16.5546875" style="4" customWidth="1"/>
    <col min="15362" max="15363" width="11.33203125" style="4" bestFit="1" customWidth="1"/>
    <col min="15364" max="15364" width="12.88671875" style="4" customWidth="1"/>
    <col min="15365" max="15367" width="11.33203125" style="4" bestFit="1" customWidth="1"/>
    <col min="15368" max="15368" width="12.33203125" style="4" bestFit="1" customWidth="1"/>
    <col min="15369" max="15370" width="11.33203125" style="4" bestFit="1" customWidth="1"/>
    <col min="15371" max="15371" width="14" style="4" bestFit="1" customWidth="1"/>
    <col min="15372" max="15612" width="9.109375" style="4"/>
    <col min="15613" max="15613" width="3" style="4" customWidth="1"/>
    <col min="15614" max="15614" width="3.33203125" style="4" customWidth="1"/>
    <col min="15615" max="15615" width="40.6640625" style="4" customWidth="1"/>
    <col min="15616" max="15616" width="11" style="4" customWidth="1"/>
    <col min="15617" max="15617" width="16.5546875" style="4" customWidth="1"/>
    <col min="15618" max="15619" width="11.33203125" style="4" bestFit="1" customWidth="1"/>
    <col min="15620" max="15620" width="12.88671875" style="4" customWidth="1"/>
    <col min="15621" max="15623" width="11.33203125" style="4" bestFit="1" customWidth="1"/>
    <col min="15624" max="15624" width="12.33203125" style="4" bestFit="1" customWidth="1"/>
    <col min="15625" max="15626" width="11.33203125" style="4" bestFit="1" customWidth="1"/>
    <col min="15627" max="15627" width="14" style="4" bestFit="1" customWidth="1"/>
    <col min="15628" max="15868" width="9.109375" style="4"/>
    <col min="15869" max="15869" width="3" style="4" customWidth="1"/>
    <col min="15870" max="15870" width="3.33203125" style="4" customWidth="1"/>
    <col min="15871" max="15871" width="40.6640625" style="4" customWidth="1"/>
    <col min="15872" max="15872" width="11" style="4" customWidth="1"/>
    <col min="15873" max="15873" width="16.5546875" style="4" customWidth="1"/>
    <col min="15874" max="15875" width="11.33203125" style="4" bestFit="1" customWidth="1"/>
    <col min="15876" max="15876" width="12.88671875" style="4" customWidth="1"/>
    <col min="15877" max="15879" width="11.33203125" style="4" bestFit="1" customWidth="1"/>
    <col min="15880" max="15880" width="12.33203125" style="4" bestFit="1" customWidth="1"/>
    <col min="15881" max="15882" width="11.33203125" style="4" bestFit="1" customWidth="1"/>
    <col min="15883" max="15883" width="14" style="4" bestFit="1" customWidth="1"/>
    <col min="15884" max="16124" width="9.109375" style="4"/>
    <col min="16125" max="16125" width="3" style="4" customWidth="1"/>
    <col min="16126" max="16126" width="3.33203125" style="4" customWidth="1"/>
    <col min="16127" max="16127" width="40.6640625" style="4" customWidth="1"/>
    <col min="16128" max="16128" width="11" style="4" customWidth="1"/>
    <col min="16129" max="16129" width="16.5546875" style="4" customWidth="1"/>
    <col min="16130" max="16131" width="11.33203125" style="4" bestFit="1" customWidth="1"/>
    <col min="16132" max="16132" width="12.88671875" style="4" customWidth="1"/>
    <col min="16133" max="16135" width="11.33203125" style="4" bestFit="1" customWidth="1"/>
    <col min="16136" max="16136" width="12.33203125" style="4" bestFit="1" customWidth="1"/>
    <col min="16137" max="16138" width="11.33203125" style="4" bestFit="1" customWidth="1"/>
    <col min="16139" max="16139" width="14" style="4" bestFit="1" customWidth="1"/>
    <col min="16140" max="16384" width="9.109375" style="4"/>
  </cols>
  <sheetData>
    <row r="1" spans="1:14" x14ac:dyDescent="0.3">
      <c r="A1" s="43" t="s">
        <v>0</v>
      </c>
      <c r="E1" s="53" t="s">
        <v>142</v>
      </c>
      <c r="F1" s="53"/>
      <c r="G1" s="53"/>
      <c r="H1" s="54" t="s">
        <v>143</v>
      </c>
      <c r="I1" s="55"/>
      <c r="J1" s="55"/>
      <c r="K1" s="55"/>
      <c r="L1" s="55"/>
    </row>
    <row r="2" spans="1:14" s="2" customFormat="1" x14ac:dyDescent="0.3">
      <c r="A2" s="1"/>
      <c r="D2" s="2" t="s">
        <v>48</v>
      </c>
      <c r="E2" s="70">
        <f>PnL!E2</f>
        <v>2016</v>
      </c>
      <c r="F2" s="70">
        <f>PnL!F2</f>
        <v>2017</v>
      </c>
      <c r="G2" s="70">
        <f>PnL!G2</f>
        <v>2018</v>
      </c>
      <c r="H2" s="70">
        <f>PnL!H2</f>
        <v>2019</v>
      </c>
      <c r="I2" s="70">
        <f>PnL!I2</f>
        <v>2020</v>
      </c>
      <c r="J2" s="70">
        <f>PnL!J2</f>
        <v>2021</v>
      </c>
      <c r="K2" s="70">
        <f>PnL!K2</f>
        <v>2022</v>
      </c>
      <c r="L2" s="70">
        <f>PnL!L2</f>
        <v>2023</v>
      </c>
    </row>
    <row r="4" spans="1:14" x14ac:dyDescent="0.3">
      <c r="A4" s="5" t="s">
        <v>49</v>
      </c>
    </row>
    <row r="5" spans="1:14" x14ac:dyDescent="0.3">
      <c r="A5" s="5"/>
      <c r="B5" s="5" t="s">
        <v>50</v>
      </c>
      <c r="H5" s="6"/>
      <c r="I5" s="6"/>
      <c r="J5" s="6"/>
      <c r="K5" s="6"/>
      <c r="L5" s="6"/>
    </row>
    <row r="6" spans="1:14" x14ac:dyDescent="0.3">
      <c r="A6" s="5"/>
      <c r="C6" s="4" t="s">
        <v>51</v>
      </c>
      <c r="D6" s="4" t="s">
        <v>52</v>
      </c>
      <c r="E6" s="49">
        <f>365/(PnL!E7/BS!E31)</f>
        <v>94.13272711748634</v>
      </c>
      <c r="F6" s="49">
        <f>365/(PnL!F7/BS!F31)</f>
        <v>77.710214634702766</v>
      </c>
      <c r="G6" s="49">
        <f>365/(PnL!G7/BS!G31)</f>
        <v>71.998602297192193</v>
      </c>
      <c r="H6" s="69">
        <f>AVERAGE(F6:G6)</f>
        <v>74.854408465947472</v>
      </c>
      <c r="I6" s="65">
        <f t="shared" ref="I6:L10" si="0">H6</f>
        <v>74.854408465947472</v>
      </c>
      <c r="J6" s="65">
        <f t="shared" si="0"/>
        <v>74.854408465947472</v>
      </c>
      <c r="K6" s="65">
        <f t="shared" si="0"/>
        <v>74.854408465947472</v>
      </c>
      <c r="L6" s="65">
        <f t="shared" si="0"/>
        <v>74.854408465947472</v>
      </c>
    </row>
    <row r="7" spans="1:14" x14ac:dyDescent="0.3">
      <c r="A7" s="5"/>
      <c r="C7" s="4" t="s">
        <v>89</v>
      </c>
      <c r="D7" s="4" t="s">
        <v>52</v>
      </c>
      <c r="E7" s="14">
        <f>365/(PnL!E7/BS!E30)</f>
        <v>124.97011612021859</v>
      </c>
      <c r="F7" s="14">
        <f>365/(PnL!F7/BS!F30)</f>
        <v>85.121100359308755</v>
      </c>
      <c r="G7" s="14">
        <f>365/(PnL!G7/BS!G30)</f>
        <v>92.56963152496138</v>
      </c>
      <c r="H7" s="69">
        <f t="shared" ref="H7:H10" si="1">AVERAGE(F7:G7)</f>
        <v>88.845365942135061</v>
      </c>
      <c r="I7" s="65">
        <f t="shared" si="0"/>
        <v>88.845365942135061</v>
      </c>
      <c r="J7" s="65">
        <f t="shared" si="0"/>
        <v>88.845365942135061</v>
      </c>
      <c r="K7" s="65">
        <f t="shared" si="0"/>
        <v>88.845365942135061</v>
      </c>
      <c r="L7" s="65">
        <f t="shared" si="0"/>
        <v>88.845365942135061</v>
      </c>
    </row>
    <row r="8" spans="1:14" x14ac:dyDescent="0.3">
      <c r="A8" s="5"/>
      <c r="C8" s="4" t="s">
        <v>54</v>
      </c>
      <c r="D8" s="4" t="s">
        <v>52</v>
      </c>
      <c r="E8" s="14">
        <f>365/(PnL!E10/BS!E9)</f>
        <v>189.66308971384376</v>
      </c>
      <c r="F8" s="14">
        <f>365/(PnL!F10/BS!F9)</f>
        <v>153.89820898509157</v>
      </c>
      <c r="G8" s="14">
        <f>365/(PnL!G10/BS!G9)</f>
        <v>129.93527508090614</v>
      </c>
      <c r="H8" s="69">
        <f t="shared" si="1"/>
        <v>141.91674203299885</v>
      </c>
      <c r="I8" s="65">
        <f t="shared" si="0"/>
        <v>141.91674203299885</v>
      </c>
      <c r="J8" s="65">
        <f t="shared" si="0"/>
        <v>141.91674203299885</v>
      </c>
      <c r="K8" s="65">
        <f t="shared" si="0"/>
        <v>141.91674203299885</v>
      </c>
      <c r="L8" s="65">
        <f t="shared" si="0"/>
        <v>141.91674203299885</v>
      </c>
      <c r="N8" s="60"/>
    </row>
    <row r="9" spans="1:14" x14ac:dyDescent="0.3">
      <c r="C9" s="4" t="s">
        <v>91</v>
      </c>
      <c r="D9" s="4" t="s">
        <v>52</v>
      </c>
      <c r="E9" s="31">
        <f>365/(PnL!E10/BS!E10)</f>
        <v>171.87886697602474</v>
      </c>
      <c r="F9" s="31">
        <f>365/(PnL!F10/BS!F10)</f>
        <v>105.16742820931863</v>
      </c>
      <c r="G9" s="31">
        <f>365/(PnL!G10/BS!G10)</f>
        <v>98.189724919093848</v>
      </c>
      <c r="H9" s="69">
        <f t="shared" si="1"/>
        <v>101.67857656420624</v>
      </c>
      <c r="I9" s="65">
        <f t="shared" si="0"/>
        <v>101.67857656420624</v>
      </c>
      <c r="J9" s="65">
        <f t="shared" si="0"/>
        <v>101.67857656420624</v>
      </c>
      <c r="K9" s="65">
        <f t="shared" si="0"/>
        <v>101.67857656420624</v>
      </c>
      <c r="L9" s="65">
        <f t="shared" si="0"/>
        <v>101.67857656420624</v>
      </c>
    </row>
    <row r="10" spans="1:14" x14ac:dyDescent="0.3">
      <c r="C10" s="4" t="s">
        <v>92</v>
      </c>
      <c r="D10" s="4" t="s">
        <v>52</v>
      </c>
      <c r="E10" s="31">
        <f>365/(PnL!E7/BS!E11)</f>
        <v>41.667093579234979</v>
      </c>
      <c r="F10" s="31">
        <f>365/(PnL!F7/BS!F11)</f>
        <v>60.910819185947041</v>
      </c>
      <c r="G10" s="31">
        <f>365/(PnL!G7/BS!G11)</f>
        <v>47.31336722386915</v>
      </c>
      <c r="H10" s="69">
        <f t="shared" si="1"/>
        <v>54.112093204908092</v>
      </c>
      <c r="I10" s="65">
        <f t="shared" si="0"/>
        <v>54.112093204908092</v>
      </c>
      <c r="J10" s="65">
        <f t="shared" si="0"/>
        <v>54.112093204908092</v>
      </c>
      <c r="K10" s="65">
        <f t="shared" si="0"/>
        <v>54.112093204908092</v>
      </c>
      <c r="L10" s="65">
        <f t="shared" si="0"/>
        <v>54.112093204908092</v>
      </c>
    </row>
    <row r="11" spans="1:14" x14ac:dyDescent="0.3">
      <c r="I11" s="6"/>
      <c r="J11" s="6"/>
      <c r="K11" s="6"/>
      <c r="L11" s="6"/>
    </row>
    <row r="12" spans="1:14" x14ac:dyDescent="0.3">
      <c r="B12" s="4" t="s">
        <v>47</v>
      </c>
      <c r="D12" s="4" t="s">
        <v>93</v>
      </c>
      <c r="F12" s="65">
        <f>BS!E32</f>
        <v>21.72</v>
      </c>
      <c r="G12" s="65">
        <f>BS!F32</f>
        <v>21.97</v>
      </c>
      <c r="H12" s="65">
        <f>G12</f>
        <v>21.97</v>
      </c>
      <c r="I12" s="65">
        <f t="shared" ref="I12:L12" si="2">H12</f>
        <v>21.97</v>
      </c>
      <c r="J12" s="65">
        <f t="shared" si="2"/>
        <v>21.97</v>
      </c>
      <c r="K12" s="65">
        <f t="shared" si="2"/>
        <v>21.97</v>
      </c>
      <c r="L12" s="65">
        <f t="shared" si="2"/>
        <v>21.97</v>
      </c>
    </row>
    <row r="13" spans="1:14" s="2" customFormat="1" x14ac:dyDescent="0.3">
      <c r="H13" s="8"/>
      <c r="I13" s="8"/>
      <c r="J13" s="8"/>
      <c r="K13" s="8"/>
      <c r="L13" s="8"/>
    </row>
    <row r="15" spans="1:14" x14ac:dyDescent="0.3">
      <c r="A15" s="5" t="s">
        <v>55</v>
      </c>
    </row>
    <row r="16" spans="1:14" x14ac:dyDescent="0.3">
      <c r="B16" s="5" t="s">
        <v>56</v>
      </c>
    </row>
    <row r="17" spans="1:15" x14ac:dyDescent="0.3">
      <c r="C17" s="4" t="s">
        <v>13</v>
      </c>
      <c r="D17" s="17" t="s">
        <v>94</v>
      </c>
      <c r="E17" s="6">
        <v>400</v>
      </c>
      <c r="F17" s="6">
        <v>419.99978707774858</v>
      </c>
      <c r="G17" s="6">
        <v>439.99995108326118</v>
      </c>
      <c r="H17" s="49">
        <f>G17*(1+H18)</f>
        <v>461.47611328329509</v>
      </c>
      <c r="I17" s="49">
        <f t="shared" ref="I17:L17" si="3">H17*(1+I18)</f>
        <v>483.72593655437981</v>
      </c>
      <c r="J17" s="49">
        <f t="shared" si="3"/>
        <v>507.19243191526976</v>
      </c>
      <c r="K17" s="49">
        <f t="shared" si="3"/>
        <v>531.72188801429877</v>
      </c>
      <c r="L17" s="49">
        <f t="shared" si="3"/>
        <v>557.47721435264214</v>
      </c>
      <c r="M17" s="18"/>
      <c r="N17" s="18" t="s">
        <v>156</v>
      </c>
      <c r="O17" s="18"/>
    </row>
    <row r="18" spans="1:15" s="105" customFormat="1" x14ac:dyDescent="0.3">
      <c r="C18" s="106" t="s">
        <v>57</v>
      </c>
      <c r="E18" s="108"/>
      <c r="F18" s="107">
        <f>(F17/E17)-1</f>
        <v>4.9999467694371358E-2</v>
      </c>
      <c r="G18" s="107">
        <f>(G17/F17)-1</f>
        <v>4.7619462249418376E-2</v>
      </c>
      <c r="H18" s="42">
        <f>AVERAGE(F18:G18)</f>
        <v>4.8809464971894867E-2</v>
      </c>
      <c r="I18" s="42">
        <f t="shared" ref="I18:L18" si="4">AVERAGE(G18:H18)</f>
        <v>4.8214463610656622E-2</v>
      </c>
      <c r="J18" s="42">
        <f t="shared" si="4"/>
        <v>4.8511964291275744E-2</v>
      </c>
      <c r="K18" s="42">
        <f t="shared" si="4"/>
        <v>4.8363213950966183E-2</v>
      </c>
      <c r="L18" s="42">
        <f t="shared" si="4"/>
        <v>4.8437589121120964E-2</v>
      </c>
    </row>
    <row r="19" spans="1:15" x14ac:dyDescent="0.3">
      <c r="C19" s="4" t="s">
        <v>14</v>
      </c>
      <c r="D19" s="17" t="s">
        <v>94</v>
      </c>
      <c r="E19" s="6">
        <v>25</v>
      </c>
      <c r="F19" s="6">
        <v>27.999997444867152</v>
      </c>
      <c r="G19" s="6">
        <v>35</v>
      </c>
      <c r="H19" s="109">
        <f>G19*(1+H20)</f>
        <v>41.475000207604729</v>
      </c>
      <c r="I19" s="109">
        <f t="shared" ref="I19:L19" si="5">H19*(1+I20)</f>
        <v>49.147875492023211</v>
      </c>
      <c r="J19" s="109">
        <f t="shared" si="5"/>
        <v>58.240232749571263</v>
      </c>
      <c r="K19" s="109">
        <f t="shared" si="5"/>
        <v>69.014676153697593</v>
      </c>
      <c r="L19" s="109">
        <f t="shared" si="5"/>
        <v>81.782391651496596</v>
      </c>
      <c r="M19" s="18"/>
      <c r="N19" s="18"/>
      <c r="O19" s="18"/>
    </row>
    <row r="20" spans="1:15" s="2" customFormat="1" x14ac:dyDescent="0.3">
      <c r="C20" s="21" t="s">
        <v>57</v>
      </c>
      <c r="E20" s="22"/>
      <c r="F20" s="51">
        <f>(F19/E19)-1</f>
        <v>0.11999989779468612</v>
      </c>
      <c r="G20" s="51">
        <f>(G19/F19)-1</f>
        <v>0.25000011406844114</v>
      </c>
      <c r="H20" s="63">
        <f>AVERAGE(F20:G20)</f>
        <v>0.18500000593156363</v>
      </c>
      <c r="I20" s="62">
        <f>H20</f>
        <v>0.18500000593156363</v>
      </c>
      <c r="J20" s="62">
        <f t="shared" ref="J20:L20" si="6">I20</f>
        <v>0.18500000593156363</v>
      </c>
      <c r="K20" s="62">
        <f t="shared" si="6"/>
        <v>0.18500000593156363</v>
      </c>
      <c r="L20" s="62">
        <f t="shared" si="6"/>
        <v>0.18500000593156363</v>
      </c>
    </row>
    <row r="22" spans="1:15" x14ac:dyDescent="0.3">
      <c r="B22" s="5" t="s">
        <v>58</v>
      </c>
      <c r="I22" s="32"/>
      <c r="J22" s="32"/>
      <c r="K22" s="32"/>
    </row>
    <row r="23" spans="1:15" x14ac:dyDescent="0.3">
      <c r="C23" s="4" t="s">
        <v>13</v>
      </c>
      <c r="D23" s="4" t="s">
        <v>95</v>
      </c>
      <c r="E23" s="6">
        <v>468475</v>
      </c>
      <c r="F23" s="6">
        <v>939310</v>
      </c>
      <c r="G23" s="6">
        <v>1635432</v>
      </c>
      <c r="H23" s="49">
        <f>G23*(1+H24)</f>
        <v>1308345.6000000001</v>
      </c>
      <c r="I23" s="49">
        <f t="shared" ref="I23:L23" si="7">H23*(1+I24)</f>
        <v>1177511.04</v>
      </c>
      <c r="J23" s="49">
        <f t="shared" si="7"/>
        <v>1177511.04</v>
      </c>
      <c r="K23" s="49">
        <f t="shared" si="7"/>
        <v>1295262.1440000001</v>
      </c>
      <c r="L23" s="49">
        <f t="shared" si="7"/>
        <v>1424788.3584000003</v>
      </c>
      <c r="M23" s="12"/>
      <c r="N23" s="12"/>
      <c r="O23" s="12"/>
    </row>
    <row r="24" spans="1:15" x14ac:dyDescent="0.3">
      <c r="C24" s="19" t="s">
        <v>59</v>
      </c>
      <c r="E24" s="20"/>
      <c r="F24" s="50">
        <f>(F23/E23)-1</f>
        <v>1.0050376220716153</v>
      </c>
      <c r="G24" s="50">
        <f>(G23/F23)-1</f>
        <v>0.74109931758418424</v>
      </c>
      <c r="H24" s="15">
        <v>-0.2</v>
      </c>
      <c r="I24" s="15">
        <v>-0.1</v>
      </c>
      <c r="J24" s="15">
        <v>0</v>
      </c>
      <c r="K24" s="15">
        <v>0.1</v>
      </c>
      <c r="L24" s="15">
        <v>0.1</v>
      </c>
    </row>
    <row r="25" spans="1:15" x14ac:dyDescent="0.3">
      <c r="C25" s="4" t="s">
        <v>14</v>
      </c>
      <c r="D25" s="4" t="s">
        <v>95</v>
      </c>
      <c r="E25" s="6">
        <v>1874000</v>
      </c>
      <c r="F25" s="6">
        <v>4696429</v>
      </c>
      <c r="G25" s="6">
        <v>4788000</v>
      </c>
      <c r="H25" s="49">
        <f>G25*(1+H26)</f>
        <v>2394000</v>
      </c>
      <c r="I25" s="49">
        <f t="shared" ref="I25:L25" si="8">H25*(1+I26)</f>
        <v>1795500</v>
      </c>
      <c r="J25" s="49">
        <f t="shared" si="8"/>
        <v>1795500</v>
      </c>
      <c r="K25" s="49">
        <f t="shared" si="8"/>
        <v>1975050.0000000002</v>
      </c>
      <c r="L25" s="49">
        <f t="shared" si="8"/>
        <v>2172555.0000000005</v>
      </c>
      <c r="M25" s="12"/>
      <c r="N25" s="12"/>
      <c r="O25" s="12"/>
    </row>
    <row r="26" spans="1:15" s="2" customFormat="1" x14ac:dyDescent="0.3">
      <c r="C26" s="21" t="s">
        <v>59</v>
      </c>
      <c r="E26" s="22"/>
      <c r="F26" s="51">
        <f>(F25/E25)-1</f>
        <v>1.5060987193169693</v>
      </c>
      <c r="G26" s="51">
        <f>(G25/F25)-1</f>
        <v>1.9498005825276943E-2</v>
      </c>
      <c r="H26" s="23">
        <v>-0.5</v>
      </c>
      <c r="I26" s="23">
        <v>-0.25</v>
      </c>
      <c r="J26" s="23">
        <v>0</v>
      </c>
      <c r="K26" s="23">
        <v>0.1</v>
      </c>
      <c r="L26" s="23">
        <v>0.1</v>
      </c>
    </row>
    <row r="28" spans="1:15" x14ac:dyDescent="0.3">
      <c r="A28" s="5" t="s">
        <v>60</v>
      </c>
    </row>
    <row r="29" spans="1:15" x14ac:dyDescent="0.3">
      <c r="B29" s="5" t="s">
        <v>96</v>
      </c>
      <c r="E29" s="6"/>
      <c r="F29" s="6"/>
      <c r="G29" s="6"/>
    </row>
    <row r="30" spans="1:15" x14ac:dyDescent="0.3">
      <c r="C30" s="4" t="s">
        <v>13</v>
      </c>
      <c r="D30" s="4" t="s">
        <v>94</v>
      </c>
      <c r="E30" s="6">
        <v>198.72</v>
      </c>
      <c r="F30" s="6">
        <v>264.94</v>
      </c>
      <c r="G30" s="6">
        <v>287.19</v>
      </c>
      <c r="H30" s="49">
        <f>G30*(1+H31)</f>
        <v>311.30858345285725</v>
      </c>
      <c r="I30" s="49">
        <f t="shared" ref="I30:L30" si="9">H30*(1+I31)</f>
        <v>337.45267638645004</v>
      </c>
      <c r="J30" s="49">
        <f t="shared" si="9"/>
        <v>365.79238367715175</v>
      </c>
      <c r="K30" s="49">
        <f t="shared" si="9"/>
        <v>396.51209582638035</v>
      </c>
      <c r="L30" s="49">
        <f t="shared" si="9"/>
        <v>429.81168868565777</v>
      </c>
    </row>
    <row r="31" spans="1:15" x14ac:dyDescent="0.3">
      <c r="C31" s="19" t="s">
        <v>57</v>
      </c>
      <c r="F31" s="20">
        <f>F30/E30-1</f>
        <v>0.33323268921095006</v>
      </c>
      <c r="G31" s="20">
        <f>G30/F30-1</f>
        <v>8.3981278780101087E-2</v>
      </c>
      <c r="H31" s="61">
        <f>G31</f>
        <v>8.3981278780101087E-2</v>
      </c>
      <c r="I31" s="61">
        <f t="shared" ref="I31:L31" si="10">H31</f>
        <v>8.3981278780101087E-2</v>
      </c>
      <c r="J31" s="61">
        <f t="shared" si="10"/>
        <v>8.3981278780101087E-2</v>
      </c>
      <c r="K31" s="61">
        <f t="shared" si="10"/>
        <v>8.3981278780101087E-2</v>
      </c>
      <c r="L31" s="61">
        <f t="shared" si="10"/>
        <v>8.3981278780101087E-2</v>
      </c>
    </row>
    <row r="32" spans="1:15" x14ac:dyDescent="0.3">
      <c r="C32" s="4" t="s">
        <v>14</v>
      </c>
      <c r="D32" s="17" t="s">
        <v>94</v>
      </c>
      <c r="E32" s="6">
        <v>5.52</v>
      </c>
      <c r="F32" s="6">
        <v>10.85</v>
      </c>
      <c r="G32" s="6">
        <v>5.16</v>
      </c>
      <c r="H32" s="49">
        <f>G32*(1+H33)</f>
        <v>5.593343398505322</v>
      </c>
      <c r="I32" s="49">
        <f t="shared" ref="I32:L32" si="11">H32*(1+I33)</f>
        <v>6.0630795297680358</v>
      </c>
      <c r="J32" s="49">
        <f t="shared" si="11"/>
        <v>6.5722647020234097</v>
      </c>
      <c r="K32" s="49">
        <f t="shared" si="11"/>
        <v>7.1242118961806558</v>
      </c>
      <c r="L32" s="49">
        <f t="shared" si="11"/>
        <v>7.7225123215223164</v>
      </c>
    </row>
    <row r="33" spans="1:22" s="2" customFormat="1" x14ac:dyDescent="0.3">
      <c r="C33" s="21" t="s">
        <v>57</v>
      </c>
      <c r="E33" s="22"/>
      <c r="F33" s="22">
        <f>F32/E32-1</f>
        <v>0.96557971014492772</v>
      </c>
      <c r="G33" s="22">
        <f>G32/F32-1</f>
        <v>-0.52442396313364048</v>
      </c>
      <c r="H33" s="62">
        <f>H31</f>
        <v>8.3981278780101087E-2</v>
      </c>
      <c r="I33" s="62">
        <f t="shared" ref="I33:L33" si="12">I31</f>
        <v>8.3981278780101087E-2</v>
      </c>
      <c r="J33" s="62">
        <f t="shared" si="12"/>
        <v>8.3981278780101087E-2</v>
      </c>
      <c r="K33" s="62">
        <f t="shared" si="12"/>
        <v>8.3981278780101087E-2</v>
      </c>
      <c r="L33" s="62">
        <f t="shared" si="12"/>
        <v>8.3981278780101087E-2</v>
      </c>
      <c r="M33" s="23"/>
      <c r="N33" s="23"/>
      <c r="O33" s="23"/>
    </row>
    <row r="34" spans="1:22" x14ac:dyDescent="0.3">
      <c r="C34" s="19"/>
      <c r="E34" s="14"/>
      <c r="F34" s="14"/>
      <c r="G34" s="14"/>
      <c r="H34" s="14"/>
      <c r="I34" s="14"/>
      <c r="J34" s="14"/>
      <c r="K34" s="14"/>
      <c r="L34" s="14"/>
    </row>
    <row r="35" spans="1:22" x14ac:dyDescent="0.3">
      <c r="B35" s="33" t="s">
        <v>15</v>
      </c>
      <c r="D35" s="4" t="s">
        <v>61</v>
      </c>
      <c r="E35" s="6">
        <v>18740000</v>
      </c>
      <c r="F35" s="6">
        <v>31560000</v>
      </c>
      <c r="G35" s="6">
        <v>87830000</v>
      </c>
      <c r="H35" s="52">
        <f>PnL!H7*Assumptions!H36</f>
        <v>56.011135604713417</v>
      </c>
      <c r="I35" s="52">
        <f>PnL!I7*Assumptions!I36</f>
        <v>45.829896460618073</v>
      </c>
      <c r="J35" s="52">
        <f>PnL!J7*Assumptions!J36</f>
        <v>41.87434681384817</v>
      </c>
      <c r="K35" s="52">
        <f>PnL!K7*Assumptions!K36</f>
        <v>40.977002794293455</v>
      </c>
      <c r="L35" s="52">
        <f>PnL!L7*Assumptions!L36</f>
        <v>48.275000557149596</v>
      </c>
    </row>
    <row r="36" spans="1:22" x14ac:dyDescent="0.3">
      <c r="B36" s="33"/>
      <c r="C36" s="19" t="s">
        <v>98</v>
      </c>
      <c r="E36" s="107">
        <f>E35/10^6/PnL!E$7</f>
        <v>8.0003415300546443E-2</v>
      </c>
      <c r="F36" s="107">
        <f>F35/10^6/PnL!F$7</f>
        <v>5.9998859337274953E-2</v>
      </c>
      <c r="G36" s="107">
        <f>G35/10^6/PnL!G$7</f>
        <v>9.9000191620546227E-2</v>
      </c>
      <c r="H36" s="42">
        <f>AVERAGE(E36:G36)</f>
        <v>7.9667488752789214E-2</v>
      </c>
      <c r="I36" s="15">
        <f>H36-1%</f>
        <v>6.9667488752789219E-2</v>
      </c>
      <c r="J36" s="15">
        <f t="shared" ref="J36:K36" si="13">I36-1%</f>
        <v>5.9667488752789218E-2</v>
      </c>
      <c r="K36" s="15">
        <f t="shared" si="13"/>
        <v>4.9667488752789216E-2</v>
      </c>
      <c r="L36" s="61">
        <f>K36</f>
        <v>4.9667488752789216E-2</v>
      </c>
    </row>
    <row r="37" spans="1:22" x14ac:dyDescent="0.3">
      <c r="B37" s="33" t="s">
        <v>16</v>
      </c>
      <c r="D37" s="4" t="s">
        <v>61</v>
      </c>
      <c r="E37" s="6">
        <v>57700000</v>
      </c>
      <c r="F37" s="6">
        <v>120980000</v>
      </c>
      <c r="G37" s="6">
        <v>150820000</v>
      </c>
      <c r="H37" s="52">
        <f>PnL!H7*Assumptions!H38</f>
        <v>119.5213085029423</v>
      </c>
      <c r="I37" s="52">
        <f>PnL!I7*Assumptions!I38</f>
        <v>118.41159104449552</v>
      </c>
      <c r="J37" s="52">
        <f>PnL!J7*Assumptions!J38</f>
        <v>133.34192507244626</v>
      </c>
      <c r="K37" s="52">
        <f>PnL!K7*Assumptions!K38</f>
        <v>165.00635671232737</v>
      </c>
      <c r="L37" s="52">
        <f>PnL!L7*Assumptions!L38</f>
        <v>204.11360082085776</v>
      </c>
    </row>
    <row r="38" spans="1:22" x14ac:dyDescent="0.3">
      <c r="B38" s="33"/>
      <c r="C38" s="19" t="s">
        <v>98</v>
      </c>
      <c r="E38" s="50">
        <f>E37/10^6/PnL!E$7</f>
        <v>0.24632855191256833</v>
      </c>
      <c r="F38" s="50">
        <f>F37/10^6/PnL!F$7</f>
        <v>0.22999562745955401</v>
      </c>
      <c r="G38" s="50">
        <f>G37/10^6/PnL!G$7</f>
        <v>0.17000123989765206</v>
      </c>
      <c r="H38" s="61">
        <f>G38</f>
        <v>0.17000123989765206</v>
      </c>
      <c r="I38" s="15">
        <f>H38+1%</f>
        <v>0.18000123989765207</v>
      </c>
      <c r="J38" s="15">
        <f t="shared" ref="J38:L38" si="14">I38+1%</f>
        <v>0.19000123989765208</v>
      </c>
      <c r="K38" s="15">
        <f t="shared" si="14"/>
        <v>0.20000123989765209</v>
      </c>
      <c r="L38" s="15">
        <f t="shared" si="14"/>
        <v>0.2100012398976521</v>
      </c>
    </row>
    <row r="39" spans="1:22" x14ac:dyDescent="0.3">
      <c r="B39" s="33" t="s">
        <v>97</v>
      </c>
      <c r="D39" s="4" t="s">
        <v>61</v>
      </c>
      <c r="E39" s="6">
        <v>8199999.9999999991</v>
      </c>
      <c r="F39" s="6">
        <v>17360000</v>
      </c>
      <c r="G39" s="6">
        <v>26620000</v>
      </c>
      <c r="H39" s="52">
        <f>PnL!H7*Assumptions!H40</f>
        <v>22.970311357837318</v>
      </c>
      <c r="I39" s="52">
        <f>PnL!I7*Assumptions!I40</f>
        <v>20.980753774173227</v>
      </c>
      <c r="J39" s="52">
        <f>PnL!J7*Assumptions!J40</f>
        <v>22.123124319887342</v>
      </c>
      <c r="K39" s="52">
        <f>PnL!K7*Assumptions!K40</f>
        <v>26.425324538000989</v>
      </c>
      <c r="L39" s="52">
        <f>PnL!L7*Assumptions!L40</f>
        <v>30.923611520030626</v>
      </c>
    </row>
    <row r="40" spans="1:22" s="2" customFormat="1" x14ac:dyDescent="0.3">
      <c r="C40" s="21" t="s">
        <v>98</v>
      </c>
      <c r="E40" s="51">
        <f>E39/10^6/PnL!E$7</f>
        <v>3.5006830601092893E-2</v>
      </c>
      <c r="F40" s="51">
        <f>F39/10^6/PnL!F$7</f>
        <v>3.3003174844584704E-2</v>
      </c>
      <c r="G40" s="51">
        <f>G39/10^6/PnL!G$7</f>
        <v>3.0005523180450196E-2</v>
      </c>
      <c r="H40" s="63">
        <f>AVERAGE(E40:G40)</f>
        <v>3.2671842875375924E-2</v>
      </c>
      <c r="I40" s="63">
        <f t="shared" ref="I40:L40" si="15">AVERAGE(F40:H40)</f>
        <v>3.1893513633470268E-2</v>
      </c>
      <c r="J40" s="63">
        <f t="shared" si="15"/>
        <v>3.1523626563098796E-2</v>
      </c>
      <c r="K40" s="63">
        <f t="shared" si="15"/>
        <v>3.2029661023981665E-2</v>
      </c>
      <c r="L40" s="63">
        <f t="shared" si="15"/>
        <v>3.181560040685024E-2</v>
      </c>
      <c r="M40" s="23"/>
      <c r="N40" s="23"/>
      <c r="O40" s="23"/>
    </row>
    <row r="41" spans="1:22" x14ac:dyDescent="0.3">
      <c r="B41" s="5"/>
      <c r="C41" s="19"/>
    </row>
    <row r="42" spans="1:22" x14ac:dyDescent="0.3">
      <c r="A42" s="5" t="s">
        <v>62</v>
      </c>
    </row>
    <row r="43" spans="1:22" x14ac:dyDescent="0.3">
      <c r="B43" s="4" t="s">
        <v>63</v>
      </c>
      <c r="D43" s="17" t="s">
        <v>61</v>
      </c>
      <c r="E43" s="6">
        <v>200000000</v>
      </c>
      <c r="F43" s="6">
        <v>0</v>
      </c>
      <c r="G43" s="6">
        <v>200000000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x14ac:dyDescent="0.3">
      <c r="B44" s="4" t="s">
        <v>64</v>
      </c>
      <c r="D44" s="4" t="s">
        <v>65</v>
      </c>
      <c r="E44" s="6">
        <v>10</v>
      </c>
      <c r="F44" s="65">
        <f>E44</f>
        <v>10</v>
      </c>
      <c r="G44" s="65">
        <f t="shared" ref="G44:L44" si="16">F44</f>
        <v>10</v>
      </c>
      <c r="H44" s="65">
        <f t="shared" si="16"/>
        <v>10</v>
      </c>
      <c r="I44" s="65">
        <f t="shared" si="16"/>
        <v>10</v>
      </c>
      <c r="J44" s="65">
        <f t="shared" si="16"/>
        <v>10</v>
      </c>
      <c r="K44" s="65">
        <f t="shared" si="16"/>
        <v>10</v>
      </c>
      <c r="L44" s="65">
        <f t="shared" si="16"/>
        <v>10</v>
      </c>
      <c r="N44" s="76" t="s">
        <v>153</v>
      </c>
    </row>
    <row r="45" spans="1:22" s="2" customFormat="1" x14ac:dyDescent="0.3">
      <c r="B45" s="2" t="s">
        <v>66</v>
      </c>
      <c r="D45" s="26" t="s">
        <v>61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7" spans="1:22" x14ac:dyDescent="0.3">
      <c r="A47" s="5" t="s">
        <v>67</v>
      </c>
    </row>
    <row r="48" spans="1:22" x14ac:dyDescent="0.3">
      <c r="B48" s="5" t="s">
        <v>68</v>
      </c>
    </row>
    <row r="49" spans="2:12" x14ac:dyDescent="0.3">
      <c r="C49" s="4" t="s">
        <v>69</v>
      </c>
      <c r="D49" s="4" t="s">
        <v>53</v>
      </c>
      <c r="E49" s="84"/>
      <c r="F49" s="84"/>
      <c r="G49" s="84"/>
      <c r="H49" s="27">
        <v>0.1</v>
      </c>
      <c r="I49" s="27">
        <v>0.1</v>
      </c>
      <c r="J49" s="27">
        <v>0.1</v>
      </c>
      <c r="K49" s="27">
        <v>0.1</v>
      </c>
      <c r="L49" s="27">
        <v>0.1</v>
      </c>
    </row>
    <row r="50" spans="2:12" x14ac:dyDescent="0.3">
      <c r="C50" s="4" t="s">
        <v>70</v>
      </c>
      <c r="D50" s="4" t="s">
        <v>53</v>
      </c>
      <c r="E50" s="84"/>
      <c r="F50" s="84"/>
      <c r="G50" s="84"/>
      <c r="H50" s="27">
        <v>0.1</v>
      </c>
      <c r="I50" s="27">
        <v>0.1</v>
      </c>
      <c r="J50" s="27">
        <v>0.1</v>
      </c>
      <c r="K50" s="27">
        <v>0.1</v>
      </c>
      <c r="L50" s="27">
        <v>0.1</v>
      </c>
    </row>
    <row r="51" spans="2:12" x14ac:dyDescent="0.3">
      <c r="E51" s="27"/>
      <c r="F51" s="28"/>
      <c r="G51" s="28"/>
      <c r="H51" s="28"/>
      <c r="I51" s="28"/>
      <c r="J51" s="29"/>
      <c r="K51" s="29"/>
      <c r="L51" s="29"/>
    </row>
    <row r="52" spans="2:12" x14ac:dyDescent="0.3">
      <c r="C52" s="4" t="s">
        <v>71</v>
      </c>
      <c r="D52" s="4" t="s">
        <v>53</v>
      </c>
      <c r="E52" s="84"/>
      <c r="F52" s="84"/>
      <c r="G52" s="84"/>
      <c r="H52" s="27">
        <v>0.06</v>
      </c>
      <c r="I52" s="27">
        <v>0.06</v>
      </c>
      <c r="J52" s="27">
        <v>0.06</v>
      </c>
      <c r="K52" s="27">
        <v>0.06</v>
      </c>
      <c r="L52" s="27">
        <v>0.06</v>
      </c>
    </row>
    <row r="53" spans="2:12" x14ac:dyDescent="0.3">
      <c r="C53" s="4" t="s">
        <v>72</v>
      </c>
      <c r="D53" s="4" t="s">
        <v>53</v>
      </c>
      <c r="E53" s="84"/>
      <c r="F53" s="84"/>
      <c r="G53" s="84"/>
      <c r="H53" s="27">
        <v>0.08</v>
      </c>
      <c r="I53" s="27">
        <v>0.08</v>
      </c>
      <c r="J53" s="27">
        <v>0.08</v>
      </c>
      <c r="K53" s="27">
        <v>0.08</v>
      </c>
      <c r="L53" s="27">
        <v>0.08</v>
      </c>
    </row>
    <row r="54" spans="2:12" x14ac:dyDescent="0.3">
      <c r="E54" s="27"/>
      <c r="F54" s="28"/>
      <c r="G54" s="28"/>
      <c r="H54" s="28"/>
      <c r="I54" s="28"/>
      <c r="J54" s="28"/>
      <c r="K54" s="28"/>
      <c r="L54" s="28"/>
    </row>
    <row r="55" spans="2:12" x14ac:dyDescent="0.3">
      <c r="B55" s="5" t="s">
        <v>73</v>
      </c>
    </row>
    <row r="56" spans="2:12" x14ac:dyDescent="0.3">
      <c r="C56" s="4" t="s">
        <v>74</v>
      </c>
      <c r="D56" s="17" t="s">
        <v>61</v>
      </c>
      <c r="E56" s="79"/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spans="2:12" x14ac:dyDescent="0.3">
      <c r="C57" s="4" t="s">
        <v>75</v>
      </c>
      <c r="D57" s="17" t="s">
        <v>61</v>
      </c>
      <c r="E57" s="79"/>
      <c r="F57" s="6">
        <v>10000000</v>
      </c>
      <c r="G57" s="6">
        <v>10000000</v>
      </c>
      <c r="H57" s="6">
        <v>20000000</v>
      </c>
      <c r="I57" s="6">
        <v>20000000</v>
      </c>
      <c r="J57" s="6">
        <v>20000000</v>
      </c>
      <c r="K57" s="6">
        <v>20000000</v>
      </c>
      <c r="L57" s="6">
        <v>20000000</v>
      </c>
    </row>
    <row r="59" spans="2:12" x14ac:dyDescent="0.3">
      <c r="B59" s="5" t="s">
        <v>76</v>
      </c>
    </row>
    <row r="60" spans="2:12" x14ac:dyDescent="0.3">
      <c r="C60" s="4" t="s">
        <v>25</v>
      </c>
      <c r="D60" s="17" t="s">
        <v>61</v>
      </c>
      <c r="E60" s="79"/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spans="2:12" x14ac:dyDescent="0.3">
      <c r="C61" s="4" t="s">
        <v>26</v>
      </c>
      <c r="D61" s="17" t="s">
        <v>61</v>
      </c>
      <c r="E61" s="79"/>
      <c r="F61" s="6">
        <v>0</v>
      </c>
      <c r="G61" s="6">
        <v>200000000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spans="2:12" x14ac:dyDescent="0.3">
      <c r="J62" s="6"/>
      <c r="K62" s="6"/>
      <c r="L62" s="6"/>
    </row>
    <row r="63" spans="2:12" x14ac:dyDescent="0.3">
      <c r="B63" s="5" t="s">
        <v>77</v>
      </c>
      <c r="D63" s="17" t="s">
        <v>61</v>
      </c>
      <c r="E63" s="79"/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spans="2:12" x14ac:dyDescent="0.3">
      <c r="J64" s="6"/>
      <c r="K64" s="6"/>
      <c r="L64" s="6"/>
    </row>
    <row r="65" spans="1:14" s="2" customFormat="1" x14ac:dyDescent="0.3">
      <c r="B65" s="25" t="s">
        <v>78</v>
      </c>
      <c r="D65" s="26" t="s">
        <v>61</v>
      </c>
      <c r="E65" s="94"/>
      <c r="F65" s="94"/>
      <c r="G65" s="94"/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spans="1:14" x14ac:dyDescent="0.3">
      <c r="J66" s="6"/>
      <c r="K66" s="6"/>
      <c r="L66" s="6"/>
      <c r="M66" s="6"/>
      <c r="N66" s="6"/>
    </row>
    <row r="67" spans="1:14" x14ac:dyDescent="0.3">
      <c r="A67" s="5" t="s">
        <v>79</v>
      </c>
    </row>
    <row r="68" spans="1:14" s="2" customFormat="1" x14ac:dyDescent="0.3">
      <c r="B68" s="2" t="s">
        <v>80</v>
      </c>
      <c r="D68" s="2" t="s">
        <v>53</v>
      </c>
      <c r="E68" s="23">
        <v>0.3</v>
      </c>
      <c r="F68" s="23">
        <v>0.3</v>
      </c>
      <c r="G68" s="23">
        <v>0.3</v>
      </c>
      <c r="H68" s="23">
        <v>0.3</v>
      </c>
      <c r="I68" s="23">
        <v>0.3</v>
      </c>
      <c r="J68" s="23">
        <v>0.3</v>
      </c>
      <c r="K68" s="23">
        <v>0.3</v>
      </c>
      <c r="L68" s="23">
        <v>0.3</v>
      </c>
      <c r="M68" s="23">
        <v>0.3</v>
      </c>
      <c r="N68" s="23">
        <v>0.3</v>
      </c>
    </row>
    <row r="70" spans="1:14" x14ac:dyDescent="0.3">
      <c r="A70" s="5" t="s">
        <v>81</v>
      </c>
    </row>
    <row r="71" spans="1:14" x14ac:dyDescent="0.3">
      <c r="B71" s="4" t="s">
        <v>82</v>
      </c>
      <c r="D71" s="15">
        <v>7.4999999999999997E-2</v>
      </c>
    </row>
    <row r="72" spans="1:14" x14ac:dyDescent="0.3">
      <c r="B72" s="4" t="s">
        <v>83</v>
      </c>
      <c r="D72" s="30">
        <v>0.8</v>
      </c>
    </row>
    <row r="73" spans="1:14" x14ac:dyDescent="0.3">
      <c r="B73" s="4" t="s">
        <v>84</v>
      </c>
      <c r="D73" s="15">
        <v>0.15</v>
      </c>
    </row>
    <row r="74" spans="1:14" x14ac:dyDescent="0.3">
      <c r="B74" s="4" t="s">
        <v>85</v>
      </c>
      <c r="D74" s="15">
        <v>0.1</v>
      </c>
    </row>
    <row r="75" spans="1:14" x14ac:dyDescent="0.3">
      <c r="B75" s="4" t="s">
        <v>86</v>
      </c>
      <c r="D75" s="30">
        <v>0.5</v>
      </c>
    </row>
    <row r="76" spans="1:14" s="2" customFormat="1" x14ac:dyDescent="0.3">
      <c r="B76" s="2" t="s">
        <v>87</v>
      </c>
      <c r="D76" s="23">
        <v>0.05</v>
      </c>
    </row>
    <row r="78" spans="1:14" x14ac:dyDescent="0.3">
      <c r="B78" s="5" t="s">
        <v>88</v>
      </c>
      <c r="D78" s="50"/>
    </row>
    <row r="79" spans="1:14" hidden="1" outlineLevel="1" x14ac:dyDescent="0.3"/>
    <row r="80" spans="1:14" hidden="1" outlineLevel="1" x14ac:dyDescent="0.3">
      <c r="F80" s="122" t="s">
        <v>87</v>
      </c>
      <c r="G80" s="123"/>
      <c r="H80" s="123"/>
      <c r="I80" s="123"/>
      <c r="J80" s="123"/>
      <c r="K80" s="124"/>
    </row>
    <row r="81" spans="1:11" hidden="1" outlineLevel="1" x14ac:dyDescent="0.3">
      <c r="A81" s="33" t="s">
        <v>140</v>
      </c>
      <c r="E81" s="103"/>
      <c r="F81" s="102">
        <f>G81-1%</f>
        <v>0.03</v>
      </c>
      <c r="G81" s="102">
        <f>H81-1%</f>
        <v>0.04</v>
      </c>
      <c r="H81" s="101">
        <v>0.05</v>
      </c>
      <c r="I81" s="102">
        <f>H81+1%</f>
        <v>6.0000000000000005E-2</v>
      </c>
      <c r="J81" s="102">
        <f>I81+1%</f>
        <v>7.0000000000000007E-2</v>
      </c>
      <c r="K81" s="102">
        <f>J81+1%</f>
        <v>0.08</v>
      </c>
    </row>
    <row r="82" spans="1:11" hidden="1" outlineLevel="1" x14ac:dyDescent="0.3">
      <c r="D82" s="119" t="s">
        <v>88</v>
      </c>
      <c r="E82" s="100">
        <f>E83-1%</f>
        <v>8.2500000000000018E-2</v>
      </c>
      <c r="F82" s="104"/>
      <c r="G82" s="104"/>
      <c r="H82" s="104"/>
      <c r="I82" s="104"/>
      <c r="J82" s="104"/>
      <c r="K82" s="104"/>
    </row>
    <row r="83" spans="1:11" hidden="1" outlineLevel="1" x14ac:dyDescent="0.3">
      <c r="D83" s="120"/>
      <c r="E83" s="100">
        <f>E84-1%</f>
        <v>9.2500000000000013E-2</v>
      </c>
      <c r="F83" s="104"/>
      <c r="G83" s="104"/>
      <c r="H83" s="104"/>
      <c r="I83" s="104"/>
      <c r="J83" s="104"/>
      <c r="K83" s="104"/>
    </row>
    <row r="84" spans="1:11" hidden="1" outlineLevel="1" x14ac:dyDescent="0.3">
      <c r="D84" s="120"/>
      <c r="E84" s="100">
        <v>0.10250000000000001</v>
      </c>
      <c r="F84" s="104"/>
      <c r="G84" s="104"/>
      <c r="H84" s="104"/>
      <c r="I84" s="104"/>
      <c r="J84" s="104"/>
      <c r="K84" s="104"/>
    </row>
    <row r="85" spans="1:11" hidden="1" outlineLevel="1" x14ac:dyDescent="0.3">
      <c r="D85" s="120"/>
      <c r="E85" s="100">
        <f>E84+1%</f>
        <v>0.1125</v>
      </c>
      <c r="F85" s="104"/>
      <c r="G85" s="104"/>
      <c r="H85" s="104"/>
      <c r="I85" s="104"/>
      <c r="J85" s="104"/>
      <c r="K85" s="104"/>
    </row>
    <row r="86" spans="1:11" hidden="1" outlineLevel="1" x14ac:dyDescent="0.3">
      <c r="D86" s="120"/>
      <c r="E86" s="100">
        <f>E85+1%</f>
        <v>0.1225</v>
      </c>
      <c r="F86" s="104"/>
      <c r="G86" s="104"/>
      <c r="H86" s="104"/>
      <c r="I86" s="104"/>
      <c r="J86" s="104"/>
      <c r="K86" s="104"/>
    </row>
    <row r="87" spans="1:11" hidden="1" outlineLevel="1" x14ac:dyDescent="0.3">
      <c r="D87" s="121"/>
      <c r="E87" s="100">
        <f>E86+1%</f>
        <v>0.13250000000000001</v>
      </c>
      <c r="F87" s="104"/>
      <c r="G87" s="104"/>
      <c r="H87" s="104"/>
      <c r="I87" s="104"/>
      <c r="J87" s="104"/>
      <c r="K87" s="104"/>
    </row>
    <row r="88" spans="1:11" hidden="1" outlineLevel="1" x14ac:dyDescent="0.3"/>
    <row r="89" spans="1:11" collapsed="1" x14ac:dyDescent="0.3"/>
  </sheetData>
  <mergeCells count="2">
    <mergeCell ref="D82:D87"/>
    <mergeCell ref="F80:K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showGridLines="0" workbookViewId="0">
      <pane xSplit="4" ySplit="2" topLeftCell="E9" activePane="bottomRight" state="frozen"/>
      <selection pane="topRight" activeCell="E1" sqref="E1"/>
      <selection pane="bottomLeft" activeCell="A3" sqref="A3"/>
      <selection pane="bottomRight" activeCell="G25" sqref="G25"/>
    </sheetView>
  </sheetViews>
  <sheetFormatPr defaultRowHeight="14.4" x14ac:dyDescent="0.3"/>
  <cols>
    <col min="1" max="1" width="3.33203125" style="4" customWidth="1"/>
    <col min="2" max="2" width="28.5546875" style="4" customWidth="1"/>
    <col min="3" max="3" width="9.109375" style="4"/>
    <col min="4" max="4" width="3.33203125" style="4" customWidth="1"/>
    <col min="5" max="7" width="12" style="4" customWidth="1"/>
    <col min="8" max="8" width="13.5546875" style="4" customWidth="1"/>
    <col min="9" max="12" width="12" style="4" customWidth="1"/>
    <col min="13" max="13" width="8.6640625" style="4" customWidth="1"/>
    <col min="14" max="254" width="9.109375" style="4"/>
    <col min="255" max="255" width="3.33203125" style="4" customWidth="1"/>
    <col min="256" max="256" width="28.5546875" style="4" customWidth="1"/>
    <col min="257" max="257" width="9.109375" style="4"/>
    <col min="258" max="258" width="3.33203125" style="4" customWidth="1"/>
    <col min="259" max="268" width="12" style="4" customWidth="1"/>
    <col min="269" max="510" width="9.109375" style="4"/>
    <col min="511" max="511" width="3.33203125" style="4" customWidth="1"/>
    <col min="512" max="512" width="28.5546875" style="4" customWidth="1"/>
    <col min="513" max="513" width="9.109375" style="4"/>
    <col min="514" max="514" width="3.33203125" style="4" customWidth="1"/>
    <col min="515" max="524" width="12" style="4" customWidth="1"/>
    <col min="525" max="766" width="9.109375" style="4"/>
    <col min="767" max="767" width="3.33203125" style="4" customWidth="1"/>
    <col min="768" max="768" width="28.5546875" style="4" customWidth="1"/>
    <col min="769" max="769" width="9.109375" style="4"/>
    <col min="770" max="770" width="3.33203125" style="4" customWidth="1"/>
    <col min="771" max="780" width="12" style="4" customWidth="1"/>
    <col min="781" max="1022" width="9.109375" style="4"/>
    <col min="1023" max="1023" width="3.33203125" style="4" customWidth="1"/>
    <col min="1024" max="1024" width="28.5546875" style="4" customWidth="1"/>
    <col min="1025" max="1025" width="9.109375" style="4"/>
    <col min="1026" max="1026" width="3.33203125" style="4" customWidth="1"/>
    <col min="1027" max="1036" width="12" style="4" customWidth="1"/>
    <col min="1037" max="1278" width="9.109375" style="4"/>
    <col min="1279" max="1279" width="3.33203125" style="4" customWidth="1"/>
    <col min="1280" max="1280" width="28.5546875" style="4" customWidth="1"/>
    <col min="1281" max="1281" width="9.109375" style="4"/>
    <col min="1282" max="1282" width="3.33203125" style="4" customWidth="1"/>
    <col min="1283" max="1292" width="12" style="4" customWidth="1"/>
    <col min="1293" max="1534" width="9.109375" style="4"/>
    <col min="1535" max="1535" width="3.33203125" style="4" customWidth="1"/>
    <col min="1536" max="1536" width="28.5546875" style="4" customWidth="1"/>
    <col min="1537" max="1537" width="9.109375" style="4"/>
    <col min="1538" max="1538" width="3.33203125" style="4" customWidth="1"/>
    <col min="1539" max="1548" width="12" style="4" customWidth="1"/>
    <col min="1549" max="1790" width="9.109375" style="4"/>
    <col min="1791" max="1791" width="3.33203125" style="4" customWidth="1"/>
    <col min="1792" max="1792" width="28.5546875" style="4" customWidth="1"/>
    <col min="1793" max="1793" width="9.109375" style="4"/>
    <col min="1794" max="1794" width="3.33203125" style="4" customWidth="1"/>
    <col min="1795" max="1804" width="12" style="4" customWidth="1"/>
    <col min="1805" max="2046" width="9.109375" style="4"/>
    <col min="2047" max="2047" width="3.33203125" style="4" customWidth="1"/>
    <col min="2048" max="2048" width="28.5546875" style="4" customWidth="1"/>
    <col min="2049" max="2049" width="9.109375" style="4"/>
    <col min="2050" max="2050" width="3.33203125" style="4" customWidth="1"/>
    <col min="2051" max="2060" width="12" style="4" customWidth="1"/>
    <col min="2061" max="2302" width="9.109375" style="4"/>
    <col min="2303" max="2303" width="3.33203125" style="4" customWidth="1"/>
    <col min="2304" max="2304" width="28.5546875" style="4" customWidth="1"/>
    <col min="2305" max="2305" width="9.109375" style="4"/>
    <col min="2306" max="2306" width="3.33203125" style="4" customWidth="1"/>
    <col min="2307" max="2316" width="12" style="4" customWidth="1"/>
    <col min="2317" max="2558" width="9.109375" style="4"/>
    <col min="2559" max="2559" width="3.33203125" style="4" customWidth="1"/>
    <col min="2560" max="2560" width="28.5546875" style="4" customWidth="1"/>
    <col min="2561" max="2561" width="9.109375" style="4"/>
    <col min="2562" max="2562" width="3.33203125" style="4" customWidth="1"/>
    <col min="2563" max="2572" width="12" style="4" customWidth="1"/>
    <col min="2573" max="2814" width="9.109375" style="4"/>
    <col min="2815" max="2815" width="3.33203125" style="4" customWidth="1"/>
    <col min="2816" max="2816" width="28.5546875" style="4" customWidth="1"/>
    <col min="2817" max="2817" width="9.109375" style="4"/>
    <col min="2818" max="2818" width="3.33203125" style="4" customWidth="1"/>
    <col min="2819" max="2828" width="12" style="4" customWidth="1"/>
    <col min="2829" max="3070" width="9.109375" style="4"/>
    <col min="3071" max="3071" width="3.33203125" style="4" customWidth="1"/>
    <col min="3072" max="3072" width="28.5546875" style="4" customWidth="1"/>
    <col min="3073" max="3073" width="9.109375" style="4"/>
    <col min="3074" max="3074" width="3.33203125" style="4" customWidth="1"/>
    <col min="3075" max="3084" width="12" style="4" customWidth="1"/>
    <col min="3085" max="3326" width="9.109375" style="4"/>
    <col min="3327" max="3327" width="3.33203125" style="4" customWidth="1"/>
    <col min="3328" max="3328" width="28.5546875" style="4" customWidth="1"/>
    <col min="3329" max="3329" width="9.109375" style="4"/>
    <col min="3330" max="3330" width="3.33203125" style="4" customWidth="1"/>
    <col min="3331" max="3340" width="12" style="4" customWidth="1"/>
    <col min="3341" max="3582" width="9.109375" style="4"/>
    <col min="3583" max="3583" width="3.33203125" style="4" customWidth="1"/>
    <col min="3584" max="3584" width="28.5546875" style="4" customWidth="1"/>
    <col min="3585" max="3585" width="9.109375" style="4"/>
    <col min="3586" max="3586" width="3.33203125" style="4" customWidth="1"/>
    <col min="3587" max="3596" width="12" style="4" customWidth="1"/>
    <col min="3597" max="3838" width="9.109375" style="4"/>
    <col min="3839" max="3839" width="3.33203125" style="4" customWidth="1"/>
    <col min="3840" max="3840" width="28.5546875" style="4" customWidth="1"/>
    <col min="3841" max="3841" width="9.109375" style="4"/>
    <col min="3842" max="3842" width="3.33203125" style="4" customWidth="1"/>
    <col min="3843" max="3852" width="12" style="4" customWidth="1"/>
    <col min="3853" max="4094" width="9.109375" style="4"/>
    <col min="4095" max="4095" width="3.33203125" style="4" customWidth="1"/>
    <col min="4096" max="4096" width="28.5546875" style="4" customWidth="1"/>
    <col min="4097" max="4097" width="9.109375" style="4"/>
    <col min="4098" max="4098" width="3.33203125" style="4" customWidth="1"/>
    <col min="4099" max="4108" width="12" style="4" customWidth="1"/>
    <col min="4109" max="4350" width="9.109375" style="4"/>
    <col min="4351" max="4351" width="3.33203125" style="4" customWidth="1"/>
    <col min="4352" max="4352" width="28.5546875" style="4" customWidth="1"/>
    <col min="4353" max="4353" width="9.109375" style="4"/>
    <col min="4354" max="4354" width="3.33203125" style="4" customWidth="1"/>
    <col min="4355" max="4364" width="12" style="4" customWidth="1"/>
    <col min="4365" max="4606" width="9.109375" style="4"/>
    <col min="4607" max="4607" width="3.33203125" style="4" customWidth="1"/>
    <col min="4608" max="4608" width="28.5546875" style="4" customWidth="1"/>
    <col min="4609" max="4609" width="9.109375" style="4"/>
    <col min="4610" max="4610" width="3.33203125" style="4" customWidth="1"/>
    <col min="4611" max="4620" width="12" style="4" customWidth="1"/>
    <col min="4621" max="4862" width="9.109375" style="4"/>
    <col min="4863" max="4863" width="3.33203125" style="4" customWidth="1"/>
    <col min="4864" max="4864" width="28.5546875" style="4" customWidth="1"/>
    <col min="4865" max="4865" width="9.109375" style="4"/>
    <col min="4866" max="4866" width="3.33203125" style="4" customWidth="1"/>
    <col min="4867" max="4876" width="12" style="4" customWidth="1"/>
    <col min="4877" max="5118" width="9.109375" style="4"/>
    <col min="5119" max="5119" width="3.33203125" style="4" customWidth="1"/>
    <col min="5120" max="5120" width="28.5546875" style="4" customWidth="1"/>
    <col min="5121" max="5121" width="9.109375" style="4"/>
    <col min="5122" max="5122" width="3.33203125" style="4" customWidth="1"/>
    <col min="5123" max="5132" width="12" style="4" customWidth="1"/>
    <col min="5133" max="5374" width="9.109375" style="4"/>
    <col min="5375" max="5375" width="3.33203125" style="4" customWidth="1"/>
    <col min="5376" max="5376" width="28.5546875" style="4" customWidth="1"/>
    <col min="5377" max="5377" width="9.109375" style="4"/>
    <col min="5378" max="5378" width="3.33203125" style="4" customWidth="1"/>
    <col min="5379" max="5388" width="12" style="4" customWidth="1"/>
    <col min="5389" max="5630" width="9.109375" style="4"/>
    <col min="5631" max="5631" width="3.33203125" style="4" customWidth="1"/>
    <col min="5632" max="5632" width="28.5546875" style="4" customWidth="1"/>
    <col min="5633" max="5633" width="9.109375" style="4"/>
    <col min="5634" max="5634" width="3.33203125" style="4" customWidth="1"/>
    <col min="5635" max="5644" width="12" style="4" customWidth="1"/>
    <col min="5645" max="5886" width="9.109375" style="4"/>
    <col min="5887" max="5887" width="3.33203125" style="4" customWidth="1"/>
    <col min="5888" max="5888" width="28.5546875" style="4" customWidth="1"/>
    <col min="5889" max="5889" width="9.109375" style="4"/>
    <col min="5890" max="5890" width="3.33203125" style="4" customWidth="1"/>
    <col min="5891" max="5900" width="12" style="4" customWidth="1"/>
    <col min="5901" max="6142" width="9.109375" style="4"/>
    <col min="6143" max="6143" width="3.33203125" style="4" customWidth="1"/>
    <col min="6144" max="6144" width="28.5546875" style="4" customWidth="1"/>
    <col min="6145" max="6145" width="9.109375" style="4"/>
    <col min="6146" max="6146" width="3.33203125" style="4" customWidth="1"/>
    <col min="6147" max="6156" width="12" style="4" customWidth="1"/>
    <col min="6157" max="6398" width="9.109375" style="4"/>
    <col min="6399" max="6399" width="3.33203125" style="4" customWidth="1"/>
    <col min="6400" max="6400" width="28.5546875" style="4" customWidth="1"/>
    <col min="6401" max="6401" width="9.109375" style="4"/>
    <col min="6402" max="6402" width="3.33203125" style="4" customWidth="1"/>
    <col min="6403" max="6412" width="12" style="4" customWidth="1"/>
    <col min="6413" max="6654" width="9.109375" style="4"/>
    <col min="6655" max="6655" width="3.33203125" style="4" customWidth="1"/>
    <col min="6656" max="6656" width="28.5546875" style="4" customWidth="1"/>
    <col min="6657" max="6657" width="9.109375" style="4"/>
    <col min="6658" max="6658" width="3.33203125" style="4" customWidth="1"/>
    <col min="6659" max="6668" width="12" style="4" customWidth="1"/>
    <col min="6669" max="6910" width="9.109375" style="4"/>
    <col min="6911" max="6911" width="3.33203125" style="4" customWidth="1"/>
    <col min="6912" max="6912" width="28.5546875" style="4" customWidth="1"/>
    <col min="6913" max="6913" width="9.109375" style="4"/>
    <col min="6914" max="6914" width="3.33203125" style="4" customWidth="1"/>
    <col min="6915" max="6924" width="12" style="4" customWidth="1"/>
    <col min="6925" max="7166" width="9.109375" style="4"/>
    <col min="7167" max="7167" width="3.33203125" style="4" customWidth="1"/>
    <col min="7168" max="7168" width="28.5546875" style="4" customWidth="1"/>
    <col min="7169" max="7169" width="9.109375" style="4"/>
    <col min="7170" max="7170" width="3.33203125" style="4" customWidth="1"/>
    <col min="7171" max="7180" width="12" style="4" customWidth="1"/>
    <col min="7181" max="7422" width="9.109375" style="4"/>
    <col min="7423" max="7423" width="3.33203125" style="4" customWidth="1"/>
    <col min="7424" max="7424" width="28.5546875" style="4" customWidth="1"/>
    <col min="7425" max="7425" width="9.109375" style="4"/>
    <col min="7426" max="7426" width="3.33203125" style="4" customWidth="1"/>
    <col min="7427" max="7436" width="12" style="4" customWidth="1"/>
    <col min="7437" max="7678" width="9.109375" style="4"/>
    <col min="7679" max="7679" width="3.33203125" style="4" customWidth="1"/>
    <col min="7680" max="7680" width="28.5546875" style="4" customWidth="1"/>
    <col min="7681" max="7681" width="9.109375" style="4"/>
    <col min="7682" max="7682" width="3.33203125" style="4" customWidth="1"/>
    <col min="7683" max="7692" width="12" style="4" customWidth="1"/>
    <col min="7693" max="7934" width="9.109375" style="4"/>
    <col min="7935" max="7935" width="3.33203125" style="4" customWidth="1"/>
    <col min="7936" max="7936" width="28.5546875" style="4" customWidth="1"/>
    <col min="7937" max="7937" width="9.109375" style="4"/>
    <col min="7938" max="7938" width="3.33203125" style="4" customWidth="1"/>
    <col min="7939" max="7948" width="12" style="4" customWidth="1"/>
    <col min="7949" max="8190" width="9.109375" style="4"/>
    <col min="8191" max="8191" width="3.33203125" style="4" customWidth="1"/>
    <col min="8192" max="8192" width="28.5546875" style="4" customWidth="1"/>
    <col min="8193" max="8193" width="9.109375" style="4"/>
    <col min="8194" max="8194" width="3.33203125" style="4" customWidth="1"/>
    <col min="8195" max="8204" width="12" style="4" customWidth="1"/>
    <col min="8205" max="8446" width="9.109375" style="4"/>
    <col min="8447" max="8447" width="3.33203125" style="4" customWidth="1"/>
    <col min="8448" max="8448" width="28.5546875" style="4" customWidth="1"/>
    <col min="8449" max="8449" width="9.109375" style="4"/>
    <col min="8450" max="8450" width="3.33203125" style="4" customWidth="1"/>
    <col min="8451" max="8460" width="12" style="4" customWidth="1"/>
    <col min="8461" max="8702" width="9.109375" style="4"/>
    <col min="8703" max="8703" width="3.33203125" style="4" customWidth="1"/>
    <col min="8704" max="8704" width="28.5546875" style="4" customWidth="1"/>
    <col min="8705" max="8705" width="9.109375" style="4"/>
    <col min="8706" max="8706" width="3.33203125" style="4" customWidth="1"/>
    <col min="8707" max="8716" width="12" style="4" customWidth="1"/>
    <col min="8717" max="8958" width="9.109375" style="4"/>
    <col min="8959" max="8959" width="3.33203125" style="4" customWidth="1"/>
    <col min="8960" max="8960" width="28.5546875" style="4" customWidth="1"/>
    <col min="8961" max="8961" width="9.109375" style="4"/>
    <col min="8962" max="8962" width="3.33203125" style="4" customWidth="1"/>
    <col min="8963" max="8972" width="12" style="4" customWidth="1"/>
    <col min="8973" max="9214" width="9.109375" style="4"/>
    <col min="9215" max="9215" width="3.33203125" style="4" customWidth="1"/>
    <col min="9216" max="9216" width="28.5546875" style="4" customWidth="1"/>
    <col min="9217" max="9217" width="9.109375" style="4"/>
    <col min="9218" max="9218" width="3.33203125" style="4" customWidth="1"/>
    <col min="9219" max="9228" width="12" style="4" customWidth="1"/>
    <col min="9229" max="9470" width="9.109375" style="4"/>
    <col min="9471" max="9471" width="3.33203125" style="4" customWidth="1"/>
    <col min="9472" max="9472" width="28.5546875" style="4" customWidth="1"/>
    <col min="9473" max="9473" width="9.109375" style="4"/>
    <col min="9474" max="9474" width="3.33203125" style="4" customWidth="1"/>
    <col min="9475" max="9484" width="12" style="4" customWidth="1"/>
    <col min="9485" max="9726" width="9.109375" style="4"/>
    <col min="9727" max="9727" width="3.33203125" style="4" customWidth="1"/>
    <col min="9728" max="9728" width="28.5546875" style="4" customWidth="1"/>
    <col min="9729" max="9729" width="9.109375" style="4"/>
    <col min="9730" max="9730" width="3.33203125" style="4" customWidth="1"/>
    <col min="9731" max="9740" width="12" style="4" customWidth="1"/>
    <col min="9741" max="9982" width="9.109375" style="4"/>
    <col min="9983" max="9983" width="3.33203125" style="4" customWidth="1"/>
    <col min="9984" max="9984" width="28.5546875" style="4" customWidth="1"/>
    <col min="9985" max="9985" width="9.109375" style="4"/>
    <col min="9986" max="9986" width="3.33203125" style="4" customWidth="1"/>
    <col min="9987" max="9996" width="12" style="4" customWidth="1"/>
    <col min="9997" max="10238" width="9.109375" style="4"/>
    <col min="10239" max="10239" width="3.33203125" style="4" customWidth="1"/>
    <col min="10240" max="10240" width="28.5546875" style="4" customWidth="1"/>
    <col min="10241" max="10241" width="9.109375" style="4"/>
    <col min="10242" max="10242" width="3.33203125" style="4" customWidth="1"/>
    <col min="10243" max="10252" width="12" style="4" customWidth="1"/>
    <col min="10253" max="10494" width="9.109375" style="4"/>
    <col min="10495" max="10495" width="3.33203125" style="4" customWidth="1"/>
    <col min="10496" max="10496" width="28.5546875" style="4" customWidth="1"/>
    <col min="10497" max="10497" width="9.109375" style="4"/>
    <col min="10498" max="10498" width="3.33203125" style="4" customWidth="1"/>
    <col min="10499" max="10508" width="12" style="4" customWidth="1"/>
    <col min="10509" max="10750" width="9.109375" style="4"/>
    <col min="10751" max="10751" width="3.33203125" style="4" customWidth="1"/>
    <col min="10752" max="10752" width="28.5546875" style="4" customWidth="1"/>
    <col min="10753" max="10753" width="9.109375" style="4"/>
    <col min="10754" max="10754" width="3.33203125" style="4" customWidth="1"/>
    <col min="10755" max="10764" width="12" style="4" customWidth="1"/>
    <col min="10765" max="11006" width="9.109375" style="4"/>
    <col min="11007" max="11007" width="3.33203125" style="4" customWidth="1"/>
    <col min="11008" max="11008" width="28.5546875" style="4" customWidth="1"/>
    <col min="11009" max="11009" width="9.109375" style="4"/>
    <col min="11010" max="11010" width="3.33203125" style="4" customWidth="1"/>
    <col min="11011" max="11020" width="12" style="4" customWidth="1"/>
    <col min="11021" max="11262" width="9.109375" style="4"/>
    <col min="11263" max="11263" width="3.33203125" style="4" customWidth="1"/>
    <col min="11264" max="11264" width="28.5546875" style="4" customWidth="1"/>
    <col min="11265" max="11265" width="9.109375" style="4"/>
    <col min="11266" max="11266" width="3.33203125" style="4" customWidth="1"/>
    <col min="11267" max="11276" width="12" style="4" customWidth="1"/>
    <col min="11277" max="11518" width="9.109375" style="4"/>
    <col min="11519" max="11519" width="3.33203125" style="4" customWidth="1"/>
    <col min="11520" max="11520" width="28.5546875" style="4" customWidth="1"/>
    <col min="11521" max="11521" width="9.109375" style="4"/>
    <col min="11522" max="11522" width="3.33203125" style="4" customWidth="1"/>
    <col min="11523" max="11532" width="12" style="4" customWidth="1"/>
    <col min="11533" max="11774" width="9.109375" style="4"/>
    <col min="11775" max="11775" width="3.33203125" style="4" customWidth="1"/>
    <col min="11776" max="11776" width="28.5546875" style="4" customWidth="1"/>
    <col min="11777" max="11777" width="9.109375" style="4"/>
    <col min="11778" max="11778" width="3.33203125" style="4" customWidth="1"/>
    <col min="11779" max="11788" width="12" style="4" customWidth="1"/>
    <col min="11789" max="12030" width="9.109375" style="4"/>
    <col min="12031" max="12031" width="3.33203125" style="4" customWidth="1"/>
    <col min="12032" max="12032" width="28.5546875" style="4" customWidth="1"/>
    <col min="12033" max="12033" width="9.109375" style="4"/>
    <col min="12034" max="12034" width="3.33203125" style="4" customWidth="1"/>
    <col min="12035" max="12044" width="12" style="4" customWidth="1"/>
    <col min="12045" max="12286" width="9.109375" style="4"/>
    <col min="12287" max="12287" width="3.33203125" style="4" customWidth="1"/>
    <col min="12288" max="12288" width="28.5546875" style="4" customWidth="1"/>
    <col min="12289" max="12289" width="9.109375" style="4"/>
    <col min="12290" max="12290" width="3.33203125" style="4" customWidth="1"/>
    <col min="12291" max="12300" width="12" style="4" customWidth="1"/>
    <col min="12301" max="12542" width="9.109375" style="4"/>
    <col min="12543" max="12543" width="3.33203125" style="4" customWidth="1"/>
    <col min="12544" max="12544" width="28.5546875" style="4" customWidth="1"/>
    <col min="12545" max="12545" width="9.109375" style="4"/>
    <col min="12546" max="12546" width="3.33203125" style="4" customWidth="1"/>
    <col min="12547" max="12556" width="12" style="4" customWidth="1"/>
    <col min="12557" max="12798" width="9.109375" style="4"/>
    <col min="12799" max="12799" width="3.33203125" style="4" customWidth="1"/>
    <col min="12800" max="12800" width="28.5546875" style="4" customWidth="1"/>
    <col min="12801" max="12801" width="9.109375" style="4"/>
    <col min="12802" max="12802" width="3.33203125" style="4" customWidth="1"/>
    <col min="12803" max="12812" width="12" style="4" customWidth="1"/>
    <col min="12813" max="13054" width="9.109375" style="4"/>
    <col min="13055" max="13055" width="3.33203125" style="4" customWidth="1"/>
    <col min="13056" max="13056" width="28.5546875" style="4" customWidth="1"/>
    <col min="13057" max="13057" width="9.109375" style="4"/>
    <col min="13058" max="13058" width="3.33203125" style="4" customWidth="1"/>
    <col min="13059" max="13068" width="12" style="4" customWidth="1"/>
    <col min="13069" max="13310" width="9.109375" style="4"/>
    <col min="13311" max="13311" width="3.33203125" style="4" customWidth="1"/>
    <col min="13312" max="13312" width="28.5546875" style="4" customWidth="1"/>
    <col min="13313" max="13313" width="9.109375" style="4"/>
    <col min="13314" max="13314" width="3.33203125" style="4" customWidth="1"/>
    <col min="13315" max="13324" width="12" style="4" customWidth="1"/>
    <col min="13325" max="13566" width="9.109375" style="4"/>
    <col min="13567" max="13567" width="3.33203125" style="4" customWidth="1"/>
    <col min="13568" max="13568" width="28.5546875" style="4" customWidth="1"/>
    <col min="13569" max="13569" width="9.109375" style="4"/>
    <col min="13570" max="13570" width="3.33203125" style="4" customWidth="1"/>
    <col min="13571" max="13580" width="12" style="4" customWidth="1"/>
    <col min="13581" max="13822" width="9.109375" style="4"/>
    <col min="13823" max="13823" width="3.33203125" style="4" customWidth="1"/>
    <col min="13824" max="13824" width="28.5546875" style="4" customWidth="1"/>
    <col min="13825" max="13825" width="9.109375" style="4"/>
    <col min="13826" max="13826" width="3.33203125" style="4" customWidth="1"/>
    <col min="13827" max="13836" width="12" style="4" customWidth="1"/>
    <col min="13837" max="14078" width="9.109375" style="4"/>
    <col min="14079" max="14079" width="3.33203125" style="4" customWidth="1"/>
    <col min="14080" max="14080" width="28.5546875" style="4" customWidth="1"/>
    <col min="14081" max="14081" width="9.109375" style="4"/>
    <col min="14082" max="14082" width="3.33203125" style="4" customWidth="1"/>
    <col min="14083" max="14092" width="12" style="4" customWidth="1"/>
    <col min="14093" max="14334" width="9.109375" style="4"/>
    <col min="14335" max="14335" width="3.33203125" style="4" customWidth="1"/>
    <col min="14336" max="14336" width="28.5546875" style="4" customWidth="1"/>
    <col min="14337" max="14337" width="9.109375" style="4"/>
    <col min="14338" max="14338" width="3.33203125" style="4" customWidth="1"/>
    <col min="14339" max="14348" width="12" style="4" customWidth="1"/>
    <col min="14349" max="14590" width="9.109375" style="4"/>
    <col min="14591" max="14591" width="3.33203125" style="4" customWidth="1"/>
    <col min="14592" max="14592" width="28.5546875" style="4" customWidth="1"/>
    <col min="14593" max="14593" width="9.109375" style="4"/>
    <col min="14594" max="14594" width="3.33203125" style="4" customWidth="1"/>
    <col min="14595" max="14604" width="12" style="4" customWidth="1"/>
    <col min="14605" max="14846" width="9.109375" style="4"/>
    <col min="14847" max="14847" width="3.33203125" style="4" customWidth="1"/>
    <col min="14848" max="14848" width="28.5546875" style="4" customWidth="1"/>
    <col min="14849" max="14849" width="9.109375" style="4"/>
    <col min="14850" max="14850" width="3.33203125" style="4" customWidth="1"/>
    <col min="14851" max="14860" width="12" style="4" customWidth="1"/>
    <col min="14861" max="15102" width="9.109375" style="4"/>
    <col min="15103" max="15103" width="3.33203125" style="4" customWidth="1"/>
    <col min="15104" max="15104" width="28.5546875" style="4" customWidth="1"/>
    <col min="15105" max="15105" width="9.109375" style="4"/>
    <col min="15106" max="15106" width="3.33203125" style="4" customWidth="1"/>
    <col min="15107" max="15116" width="12" style="4" customWidth="1"/>
    <col min="15117" max="15358" width="9.109375" style="4"/>
    <col min="15359" max="15359" width="3.33203125" style="4" customWidth="1"/>
    <col min="15360" max="15360" width="28.5546875" style="4" customWidth="1"/>
    <col min="15361" max="15361" width="9.109375" style="4"/>
    <col min="15362" max="15362" width="3.33203125" style="4" customWidth="1"/>
    <col min="15363" max="15372" width="12" style="4" customWidth="1"/>
    <col min="15373" max="15614" width="9.109375" style="4"/>
    <col min="15615" max="15615" width="3.33203125" style="4" customWidth="1"/>
    <col min="15616" max="15616" width="28.5546875" style="4" customWidth="1"/>
    <col min="15617" max="15617" width="9.109375" style="4"/>
    <col min="15618" max="15618" width="3.33203125" style="4" customWidth="1"/>
    <col min="15619" max="15628" width="12" style="4" customWidth="1"/>
    <col min="15629" max="15870" width="9.109375" style="4"/>
    <col min="15871" max="15871" width="3.33203125" style="4" customWidth="1"/>
    <col min="15872" max="15872" width="28.5546875" style="4" customWidth="1"/>
    <col min="15873" max="15873" width="9.109375" style="4"/>
    <col min="15874" max="15874" width="3.33203125" style="4" customWidth="1"/>
    <col min="15875" max="15884" width="12" style="4" customWidth="1"/>
    <col min="15885" max="16126" width="9.109375" style="4"/>
    <col min="16127" max="16127" width="3.33203125" style="4" customWidth="1"/>
    <col min="16128" max="16128" width="28.5546875" style="4" customWidth="1"/>
    <col min="16129" max="16129" width="9.109375" style="4"/>
    <col min="16130" max="16130" width="3.33203125" style="4" customWidth="1"/>
    <col min="16131" max="16140" width="12" style="4" customWidth="1"/>
    <col min="16141" max="16384" width="9.109375" style="4"/>
  </cols>
  <sheetData>
    <row r="1" spans="1:14" x14ac:dyDescent="0.3">
      <c r="A1" s="43" t="s">
        <v>0</v>
      </c>
      <c r="E1" s="53" t="s">
        <v>142</v>
      </c>
      <c r="F1" s="53"/>
      <c r="G1" s="53"/>
      <c r="H1" s="54" t="s">
        <v>143</v>
      </c>
      <c r="I1" s="55"/>
      <c r="J1" s="55"/>
      <c r="K1" s="55"/>
      <c r="L1" s="55"/>
    </row>
    <row r="2" spans="1:14" s="2" customFormat="1" x14ac:dyDescent="0.3">
      <c r="A2" s="1"/>
      <c r="E2" s="44">
        <v>2016</v>
      </c>
      <c r="F2" s="3">
        <f t="shared" ref="F2:L2" si="0">E2+1</f>
        <v>2017</v>
      </c>
      <c r="G2" s="3">
        <f t="shared" si="0"/>
        <v>2018</v>
      </c>
      <c r="H2" s="3">
        <f t="shared" si="0"/>
        <v>2019</v>
      </c>
      <c r="I2" s="3">
        <f t="shared" si="0"/>
        <v>2020</v>
      </c>
      <c r="J2" s="3">
        <f t="shared" si="0"/>
        <v>2021</v>
      </c>
      <c r="K2" s="3">
        <f t="shared" si="0"/>
        <v>2022</v>
      </c>
      <c r="L2" s="3">
        <f t="shared" si="0"/>
        <v>2023</v>
      </c>
    </row>
    <row r="4" spans="1:14" x14ac:dyDescent="0.3">
      <c r="A4" s="5" t="s">
        <v>2</v>
      </c>
      <c r="E4" s="12"/>
      <c r="F4" s="12"/>
      <c r="G4" s="12"/>
    </row>
    <row r="5" spans="1:14" x14ac:dyDescent="0.3">
      <c r="B5" s="4" t="s">
        <v>13</v>
      </c>
      <c r="E5" s="6">
        <v>187.39</v>
      </c>
      <c r="F5" s="6">
        <v>394.51</v>
      </c>
      <c r="G5" s="6">
        <v>719.59</v>
      </c>
      <c r="H5" s="6">
        <f>(Assumptions!H17*Assumptions!H23)/10^6</f>
        <v>603.77024231930079</v>
      </c>
      <c r="I5" s="56">
        <f>(Assumptions!I17*Assumptions!I23)/10^6</f>
        <v>569.59263062712182</v>
      </c>
      <c r="J5" s="56">
        <f>(Assumptions!J17*Assumptions!J23)/10^6</f>
        <v>597.22468798467855</v>
      </c>
      <c r="K5" s="56">
        <f>(Assumptions!K17*Assumptions!K23)/10^6</f>
        <v>688.71923268112857</v>
      </c>
      <c r="L5" s="56">
        <f>(Assumptions!L17*Assumptions!L23)/10^6</f>
        <v>794.28704508290605</v>
      </c>
      <c r="N5" s="60" t="s">
        <v>144</v>
      </c>
    </row>
    <row r="6" spans="1:14" x14ac:dyDescent="0.3">
      <c r="B6" s="2" t="s">
        <v>14</v>
      </c>
      <c r="C6" s="2"/>
      <c r="D6" s="2"/>
      <c r="E6" s="8">
        <v>46.85</v>
      </c>
      <c r="F6" s="8">
        <v>131.5</v>
      </c>
      <c r="G6" s="8">
        <v>167.58</v>
      </c>
      <c r="H6" s="8">
        <f>(Assumptions!H19*Assumptions!H25)/10^6</f>
        <v>99.291150497005717</v>
      </c>
      <c r="I6" s="8">
        <f>(Assumptions!I19*Assumptions!I25)/10^6</f>
        <v>88.245010445927676</v>
      </c>
      <c r="J6" s="8">
        <f>(Assumptions!J19*Assumptions!J25)/10^6</f>
        <v>104.5703379018552</v>
      </c>
      <c r="K6" s="8">
        <f>(Assumptions!K19*Assumptions!K25)/10^6</f>
        <v>136.30743613736044</v>
      </c>
      <c r="L6" s="8">
        <f>(Assumptions!L19*Assumptions!L25)/10^6</f>
        <v>177.67674389441723</v>
      </c>
      <c r="N6" s="60" t="s">
        <v>144</v>
      </c>
    </row>
    <row r="7" spans="1:14" s="5" customFormat="1" ht="13.2" x14ac:dyDescent="0.25">
      <c r="B7" s="5" t="s">
        <v>3</v>
      </c>
      <c r="E7" s="45">
        <f>SUM(E5:E6)</f>
        <v>234.23999999999998</v>
      </c>
      <c r="F7" s="45">
        <f t="shared" ref="F7:L7" si="1">SUM(F5:F6)</f>
        <v>526.01</v>
      </c>
      <c r="G7" s="45">
        <f t="shared" si="1"/>
        <v>887.17000000000007</v>
      </c>
      <c r="H7" s="45">
        <f t="shared" si="1"/>
        <v>703.06139281630647</v>
      </c>
      <c r="I7" s="45">
        <f t="shared" si="1"/>
        <v>657.83764107304955</v>
      </c>
      <c r="J7" s="45">
        <f t="shared" si="1"/>
        <v>701.79502588653372</v>
      </c>
      <c r="K7" s="45">
        <f t="shared" si="1"/>
        <v>825.02666881848904</v>
      </c>
      <c r="L7" s="45">
        <f t="shared" si="1"/>
        <v>971.96378897732325</v>
      </c>
    </row>
    <row r="9" spans="1:14" x14ac:dyDescent="0.3">
      <c r="A9" s="5" t="s">
        <v>4</v>
      </c>
    </row>
    <row r="10" spans="1:14" x14ac:dyDescent="0.3">
      <c r="B10" s="4" t="s">
        <v>5</v>
      </c>
      <c r="E10" s="6">
        <v>103.44</v>
      </c>
      <c r="F10" s="6">
        <v>299.83</v>
      </c>
      <c r="G10" s="6">
        <v>494.4</v>
      </c>
      <c r="H10" s="56">
        <f>Assumptions!H30</f>
        <v>311.30858345285725</v>
      </c>
      <c r="I10" s="56">
        <f>Assumptions!I30</f>
        <v>337.45267638645004</v>
      </c>
      <c r="J10" s="56">
        <f>Assumptions!J30</f>
        <v>365.79238367715175</v>
      </c>
      <c r="K10" s="56">
        <f>Assumptions!K30</f>
        <v>396.51209582638035</v>
      </c>
      <c r="L10" s="56">
        <f>Assumptions!L30</f>
        <v>429.81168868565777</v>
      </c>
      <c r="N10" s="60" t="s">
        <v>144</v>
      </c>
    </row>
    <row r="11" spans="1:14" x14ac:dyDescent="0.3">
      <c r="B11" s="4" t="s">
        <v>15</v>
      </c>
      <c r="E11" s="6">
        <v>18.739999999999998</v>
      </c>
      <c r="F11" s="6">
        <v>31.56</v>
      </c>
      <c r="G11" s="6">
        <v>87.83</v>
      </c>
      <c r="H11" s="56">
        <f>Assumptions!H35</f>
        <v>56.011135604713417</v>
      </c>
      <c r="I11" s="56">
        <f>Assumptions!I35</f>
        <v>45.829896460618073</v>
      </c>
      <c r="J11" s="56">
        <f>Assumptions!J35</f>
        <v>41.87434681384817</v>
      </c>
      <c r="K11" s="56">
        <f>Assumptions!K35</f>
        <v>40.977002794293455</v>
      </c>
      <c r="L11" s="56">
        <f>Assumptions!L35</f>
        <v>48.275000557149596</v>
      </c>
      <c r="N11" s="60" t="s">
        <v>144</v>
      </c>
    </row>
    <row r="12" spans="1:14" x14ac:dyDescent="0.3">
      <c r="B12" s="4" t="s">
        <v>16</v>
      </c>
      <c r="E12" s="6">
        <v>57.7</v>
      </c>
      <c r="F12" s="6">
        <v>120.98</v>
      </c>
      <c r="G12" s="6">
        <v>150.82</v>
      </c>
      <c r="H12" s="56">
        <f>Assumptions!H37</f>
        <v>119.5213085029423</v>
      </c>
      <c r="I12" s="56">
        <f>Assumptions!I37</f>
        <v>118.41159104449552</v>
      </c>
      <c r="J12" s="56">
        <f>Assumptions!J37</f>
        <v>133.34192507244626</v>
      </c>
      <c r="K12" s="56">
        <f>Assumptions!K37</f>
        <v>165.00635671232737</v>
      </c>
      <c r="L12" s="56">
        <f>Assumptions!L37</f>
        <v>204.11360082085776</v>
      </c>
      <c r="N12" s="60" t="s">
        <v>144</v>
      </c>
    </row>
    <row r="13" spans="1:14" x14ac:dyDescent="0.3">
      <c r="B13" s="2" t="s">
        <v>17</v>
      </c>
      <c r="C13" s="2"/>
      <c r="D13" s="2"/>
      <c r="E13" s="8">
        <v>8.1999999999999993</v>
      </c>
      <c r="F13" s="8">
        <v>17.36</v>
      </c>
      <c r="G13" s="8">
        <v>26.62</v>
      </c>
      <c r="H13" s="57">
        <f>Assumptions!H39</f>
        <v>22.970311357837318</v>
      </c>
      <c r="I13" s="57">
        <f>Assumptions!I39</f>
        <v>20.980753774173227</v>
      </c>
      <c r="J13" s="57">
        <f>Assumptions!J39</f>
        <v>22.123124319887342</v>
      </c>
      <c r="K13" s="57">
        <f>Assumptions!K39</f>
        <v>26.425324538000989</v>
      </c>
      <c r="L13" s="57">
        <f>Assumptions!L39</f>
        <v>30.923611520030626</v>
      </c>
      <c r="N13" s="60" t="s">
        <v>144</v>
      </c>
    </row>
    <row r="14" spans="1:14" s="5" customFormat="1" ht="13.2" x14ac:dyDescent="0.25">
      <c r="B14" s="5" t="s">
        <v>6</v>
      </c>
      <c r="E14" s="45">
        <f>SUM(E10:E13)</f>
        <v>188.07999999999998</v>
      </c>
      <c r="F14" s="45">
        <f>SUM(F10:F13)</f>
        <v>469.73</v>
      </c>
      <c r="G14" s="45">
        <f t="shared" ref="G14:L14" si="2">SUM(G10:G13)</f>
        <v>759.67</v>
      </c>
      <c r="H14" s="45">
        <f t="shared" si="2"/>
        <v>509.81133891835026</v>
      </c>
      <c r="I14" s="45">
        <f t="shared" si="2"/>
        <v>522.67491766573687</v>
      </c>
      <c r="J14" s="45">
        <f t="shared" si="2"/>
        <v>563.13177988333348</v>
      </c>
      <c r="K14" s="45">
        <f t="shared" si="2"/>
        <v>628.9207798710022</v>
      </c>
      <c r="L14" s="45">
        <f t="shared" si="2"/>
        <v>713.12390158369567</v>
      </c>
    </row>
    <row r="15" spans="1:14" x14ac:dyDescent="0.3">
      <c r="G15" s="12"/>
    </row>
    <row r="16" spans="1:14" s="5" customFormat="1" ht="13.2" x14ac:dyDescent="0.25">
      <c r="A16" s="5" t="s">
        <v>7</v>
      </c>
      <c r="E16" s="46">
        <f>E7-E14</f>
        <v>46.16</v>
      </c>
      <c r="F16" s="46">
        <f t="shared" ref="F16:L16" si="3">F7-F14</f>
        <v>56.279999999999973</v>
      </c>
      <c r="G16" s="46">
        <f t="shared" si="3"/>
        <v>127.50000000000011</v>
      </c>
      <c r="H16" s="46">
        <f t="shared" si="3"/>
        <v>193.25005389795621</v>
      </c>
      <c r="I16" s="46">
        <f t="shared" si="3"/>
        <v>135.16272340731268</v>
      </c>
      <c r="J16" s="46">
        <f t="shared" si="3"/>
        <v>138.66324600320024</v>
      </c>
      <c r="K16" s="46">
        <f t="shared" si="3"/>
        <v>196.10588894748685</v>
      </c>
      <c r="L16" s="46">
        <f t="shared" si="3"/>
        <v>258.83988739362758</v>
      </c>
    </row>
    <row r="17" spans="1:14" x14ac:dyDescent="0.3">
      <c r="A17" s="2"/>
      <c r="B17" s="2" t="s">
        <v>8</v>
      </c>
      <c r="C17" s="2"/>
      <c r="D17" s="2"/>
      <c r="E17" s="8">
        <v>20</v>
      </c>
      <c r="F17" s="8">
        <v>20</v>
      </c>
      <c r="G17" s="8">
        <v>40</v>
      </c>
      <c r="H17" s="64">
        <f>'Asset Schedule'!H20</f>
        <v>40</v>
      </c>
      <c r="I17" s="64">
        <f>'Asset Schedule'!I20</f>
        <v>40</v>
      </c>
      <c r="J17" s="64">
        <f>'Asset Schedule'!J20</f>
        <v>40</v>
      </c>
      <c r="K17" s="64">
        <f>'Asset Schedule'!K20</f>
        <v>40</v>
      </c>
      <c r="L17" s="64">
        <f>'Asset Schedule'!L20</f>
        <v>40</v>
      </c>
      <c r="N17" s="60" t="s">
        <v>145</v>
      </c>
    </row>
    <row r="18" spans="1:14" s="5" customFormat="1" ht="13.2" x14ac:dyDescent="0.25">
      <c r="A18" s="5" t="s">
        <v>1</v>
      </c>
      <c r="E18" s="95">
        <f>E16-E17</f>
        <v>26.159999999999997</v>
      </c>
      <c r="F18" s="95">
        <f t="shared" ref="F18:L18" si="4">F16-F17</f>
        <v>36.279999999999973</v>
      </c>
      <c r="G18" s="95">
        <f t="shared" si="4"/>
        <v>87.500000000000114</v>
      </c>
      <c r="H18" s="95">
        <f t="shared" si="4"/>
        <v>153.25005389795621</v>
      </c>
      <c r="I18" s="95">
        <f t="shared" si="4"/>
        <v>95.162723407312683</v>
      </c>
      <c r="J18" s="95">
        <f t="shared" si="4"/>
        <v>98.663246003200243</v>
      </c>
      <c r="K18" s="95">
        <f t="shared" si="4"/>
        <v>156.10588894748685</v>
      </c>
      <c r="L18" s="95">
        <f t="shared" si="4"/>
        <v>218.83988739362758</v>
      </c>
    </row>
    <row r="19" spans="1:14" x14ac:dyDescent="0.3">
      <c r="A19" s="2"/>
      <c r="B19" s="2" t="s">
        <v>9</v>
      </c>
      <c r="C19" s="2"/>
      <c r="D19" s="2"/>
      <c r="E19" s="8">
        <v>20</v>
      </c>
      <c r="F19" s="8">
        <v>19.5</v>
      </c>
      <c r="G19" s="8">
        <v>28.5</v>
      </c>
      <c r="H19" s="64">
        <f ca="1">'Debt Schedule'!H34</f>
        <v>16.721432888140463</v>
      </c>
      <c r="I19" s="64">
        <f ca="1">'Debt Schedule'!I34</f>
        <v>8.9156565846568938</v>
      </c>
      <c r="J19" s="64">
        <f ca="1">'Debt Schedule'!J34</f>
        <v>1.0821347048303913</v>
      </c>
      <c r="K19" s="64">
        <f ca="1">'Debt Schedule'!K34</f>
        <v>-9.2096266356695722</v>
      </c>
      <c r="L19" s="64">
        <f ca="1">'Debt Schedule'!L34</f>
        <v>-22.636351382479013</v>
      </c>
      <c r="N19" s="60" t="s">
        <v>146</v>
      </c>
    </row>
    <row r="20" spans="1:14" s="5" customFormat="1" ht="13.2" x14ac:dyDescent="0.25">
      <c r="A20" s="5" t="s">
        <v>10</v>
      </c>
      <c r="E20" s="45">
        <f>E18-E19</f>
        <v>6.1599999999999966</v>
      </c>
      <c r="F20" s="45">
        <f t="shared" ref="F20:L20" si="5">F18-F19</f>
        <v>16.779999999999973</v>
      </c>
      <c r="G20" s="45">
        <f t="shared" si="5"/>
        <v>59.000000000000114</v>
      </c>
      <c r="H20" s="45">
        <f t="shared" ca="1" si="5"/>
        <v>136.52862100981574</v>
      </c>
      <c r="I20" s="45">
        <f t="shared" ca="1" si="5"/>
        <v>86.247066822655796</v>
      </c>
      <c r="J20" s="45">
        <f t="shared" ca="1" si="5"/>
        <v>97.581111298369848</v>
      </c>
      <c r="K20" s="45">
        <f t="shared" ca="1" si="5"/>
        <v>165.31551558315641</v>
      </c>
      <c r="L20" s="45">
        <f t="shared" ca="1" si="5"/>
        <v>241.47623877610658</v>
      </c>
    </row>
    <row r="21" spans="1:14" x14ac:dyDescent="0.3">
      <c r="A21" s="2"/>
      <c r="B21" s="2" t="s">
        <v>11</v>
      </c>
      <c r="C21" s="2"/>
      <c r="D21" s="2"/>
      <c r="E21" s="8">
        <v>1.85</v>
      </c>
      <c r="F21" s="8">
        <v>5.03</v>
      </c>
      <c r="G21" s="8">
        <v>17.7</v>
      </c>
      <c r="H21" s="57">
        <f ca="1">H20*Assumptions!H68</f>
        <v>40.958586302944717</v>
      </c>
      <c r="I21" s="57">
        <f ca="1">I20*Assumptions!I68</f>
        <v>25.874120046796737</v>
      </c>
      <c r="J21" s="57">
        <f ca="1">J20*Assumptions!J68</f>
        <v>29.274333389510954</v>
      </c>
      <c r="K21" s="57">
        <f ca="1">K20*Assumptions!K68</f>
        <v>49.594654674946923</v>
      </c>
      <c r="L21" s="57">
        <f ca="1">L20*Assumptions!L68</f>
        <v>72.442871632831967</v>
      </c>
      <c r="N21" s="60" t="s">
        <v>144</v>
      </c>
    </row>
    <row r="22" spans="1:14" s="5" customFormat="1" ht="13.8" thickBot="1" x14ac:dyDescent="0.3">
      <c r="A22" s="11" t="s">
        <v>12</v>
      </c>
      <c r="B22" s="11"/>
      <c r="C22" s="11"/>
      <c r="D22" s="11"/>
      <c r="E22" s="47">
        <f>E20-E21</f>
        <v>4.3099999999999969</v>
      </c>
      <c r="F22" s="47">
        <f t="shared" ref="F22:L22" si="6">F20-F21</f>
        <v>11.749999999999972</v>
      </c>
      <c r="G22" s="47">
        <f t="shared" si="6"/>
        <v>41.300000000000111</v>
      </c>
      <c r="H22" s="47">
        <f t="shared" ca="1" si="6"/>
        <v>95.570034706871013</v>
      </c>
      <c r="I22" s="47">
        <f t="shared" ca="1" si="6"/>
        <v>60.372946775859063</v>
      </c>
      <c r="J22" s="47">
        <f t="shared" ca="1" si="6"/>
        <v>68.306777908858891</v>
      </c>
      <c r="K22" s="47">
        <f t="shared" ca="1" si="6"/>
        <v>115.72086090820949</v>
      </c>
      <c r="L22" s="47">
        <f t="shared" ca="1" si="6"/>
        <v>169.03336714327463</v>
      </c>
    </row>
    <row r="23" spans="1:14" ht="15" thickTop="1" x14ac:dyDescent="0.3">
      <c r="E23" s="12"/>
      <c r="F23" s="12"/>
      <c r="G23" s="12"/>
    </row>
    <row r="24" spans="1:14" x14ac:dyDescent="0.3">
      <c r="E24" s="12"/>
      <c r="F24" s="12"/>
      <c r="G24" s="12"/>
    </row>
    <row r="25" spans="1:14" x14ac:dyDescent="0.3">
      <c r="E25" s="12"/>
      <c r="F25" s="12"/>
      <c r="G25" s="12"/>
    </row>
    <row r="26" spans="1:14" x14ac:dyDescent="0.3">
      <c r="E26" s="12"/>
      <c r="F26" s="12"/>
      <c r="G26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7"/>
  <sheetViews>
    <sheetView showGridLines="0" workbookViewId="0">
      <pane xSplit="4" ySplit="2" topLeftCell="E23" activePane="bottomRight" state="frozen"/>
      <selection pane="topRight" activeCell="E1" sqref="E1"/>
      <selection pane="bottomLeft" activeCell="A3" sqref="A3"/>
      <selection pane="bottomRight" activeCell="I29" sqref="I29"/>
    </sheetView>
  </sheetViews>
  <sheetFormatPr defaultRowHeight="14.4" x14ac:dyDescent="0.3"/>
  <cols>
    <col min="1" max="1" width="3.33203125" style="4" customWidth="1"/>
    <col min="2" max="2" width="35.6640625" style="4" customWidth="1"/>
    <col min="3" max="3" width="3.5546875" style="4" customWidth="1"/>
    <col min="4" max="4" width="3" style="4" customWidth="1"/>
    <col min="5" max="12" width="12.33203125" style="4" customWidth="1"/>
    <col min="13" max="13" width="8.6640625" style="4" customWidth="1"/>
    <col min="14" max="14" width="14.5546875" style="4" bestFit="1" customWidth="1"/>
    <col min="15" max="254" width="9.109375" style="4"/>
    <col min="255" max="255" width="3.33203125" style="4" customWidth="1"/>
    <col min="256" max="256" width="35.6640625" style="4" customWidth="1"/>
    <col min="257" max="257" width="3.5546875" style="4" customWidth="1"/>
    <col min="258" max="258" width="3" style="4" customWidth="1"/>
    <col min="259" max="268" width="12.33203125" style="4" customWidth="1"/>
    <col min="269" max="269" width="22" style="4" customWidth="1"/>
    <col min="270" max="270" width="14.5546875" style="4" bestFit="1" customWidth="1"/>
    <col min="271" max="510" width="9.109375" style="4"/>
    <col min="511" max="511" width="3.33203125" style="4" customWidth="1"/>
    <col min="512" max="512" width="35.6640625" style="4" customWidth="1"/>
    <col min="513" max="513" width="3.5546875" style="4" customWidth="1"/>
    <col min="514" max="514" width="3" style="4" customWidth="1"/>
    <col min="515" max="524" width="12.33203125" style="4" customWidth="1"/>
    <col min="525" max="525" width="22" style="4" customWidth="1"/>
    <col min="526" max="526" width="14.5546875" style="4" bestFit="1" customWidth="1"/>
    <col min="527" max="766" width="9.109375" style="4"/>
    <col min="767" max="767" width="3.33203125" style="4" customWidth="1"/>
    <col min="768" max="768" width="35.6640625" style="4" customWidth="1"/>
    <col min="769" max="769" width="3.5546875" style="4" customWidth="1"/>
    <col min="770" max="770" width="3" style="4" customWidth="1"/>
    <col min="771" max="780" width="12.33203125" style="4" customWidth="1"/>
    <col min="781" max="781" width="22" style="4" customWidth="1"/>
    <col min="782" max="782" width="14.5546875" style="4" bestFit="1" customWidth="1"/>
    <col min="783" max="1022" width="9.109375" style="4"/>
    <col min="1023" max="1023" width="3.33203125" style="4" customWidth="1"/>
    <col min="1024" max="1024" width="35.6640625" style="4" customWidth="1"/>
    <col min="1025" max="1025" width="3.5546875" style="4" customWidth="1"/>
    <col min="1026" max="1026" width="3" style="4" customWidth="1"/>
    <col min="1027" max="1036" width="12.33203125" style="4" customWidth="1"/>
    <col min="1037" max="1037" width="22" style="4" customWidth="1"/>
    <col min="1038" max="1038" width="14.5546875" style="4" bestFit="1" customWidth="1"/>
    <col min="1039" max="1278" width="9.109375" style="4"/>
    <col min="1279" max="1279" width="3.33203125" style="4" customWidth="1"/>
    <col min="1280" max="1280" width="35.6640625" style="4" customWidth="1"/>
    <col min="1281" max="1281" width="3.5546875" style="4" customWidth="1"/>
    <col min="1282" max="1282" width="3" style="4" customWidth="1"/>
    <col min="1283" max="1292" width="12.33203125" style="4" customWidth="1"/>
    <col min="1293" max="1293" width="22" style="4" customWidth="1"/>
    <col min="1294" max="1294" width="14.5546875" style="4" bestFit="1" customWidth="1"/>
    <col min="1295" max="1534" width="9.109375" style="4"/>
    <col min="1535" max="1535" width="3.33203125" style="4" customWidth="1"/>
    <col min="1536" max="1536" width="35.6640625" style="4" customWidth="1"/>
    <col min="1537" max="1537" width="3.5546875" style="4" customWidth="1"/>
    <col min="1538" max="1538" width="3" style="4" customWidth="1"/>
    <col min="1539" max="1548" width="12.33203125" style="4" customWidth="1"/>
    <col min="1549" max="1549" width="22" style="4" customWidth="1"/>
    <col min="1550" max="1550" width="14.5546875" style="4" bestFit="1" customWidth="1"/>
    <col min="1551" max="1790" width="9.109375" style="4"/>
    <col min="1791" max="1791" width="3.33203125" style="4" customWidth="1"/>
    <col min="1792" max="1792" width="35.6640625" style="4" customWidth="1"/>
    <col min="1793" max="1793" width="3.5546875" style="4" customWidth="1"/>
    <col min="1794" max="1794" width="3" style="4" customWidth="1"/>
    <col min="1795" max="1804" width="12.33203125" style="4" customWidth="1"/>
    <col min="1805" max="1805" width="22" style="4" customWidth="1"/>
    <col min="1806" max="1806" width="14.5546875" style="4" bestFit="1" customWidth="1"/>
    <col min="1807" max="2046" width="9.109375" style="4"/>
    <col min="2047" max="2047" width="3.33203125" style="4" customWidth="1"/>
    <col min="2048" max="2048" width="35.6640625" style="4" customWidth="1"/>
    <col min="2049" max="2049" width="3.5546875" style="4" customWidth="1"/>
    <col min="2050" max="2050" width="3" style="4" customWidth="1"/>
    <col min="2051" max="2060" width="12.33203125" style="4" customWidth="1"/>
    <col min="2061" max="2061" width="22" style="4" customWidth="1"/>
    <col min="2062" max="2062" width="14.5546875" style="4" bestFit="1" customWidth="1"/>
    <col min="2063" max="2302" width="9.109375" style="4"/>
    <col min="2303" max="2303" width="3.33203125" style="4" customWidth="1"/>
    <col min="2304" max="2304" width="35.6640625" style="4" customWidth="1"/>
    <col min="2305" max="2305" width="3.5546875" style="4" customWidth="1"/>
    <col min="2306" max="2306" width="3" style="4" customWidth="1"/>
    <col min="2307" max="2316" width="12.33203125" style="4" customWidth="1"/>
    <col min="2317" max="2317" width="22" style="4" customWidth="1"/>
    <col min="2318" max="2318" width="14.5546875" style="4" bestFit="1" customWidth="1"/>
    <col min="2319" max="2558" width="9.109375" style="4"/>
    <col min="2559" max="2559" width="3.33203125" style="4" customWidth="1"/>
    <col min="2560" max="2560" width="35.6640625" style="4" customWidth="1"/>
    <col min="2561" max="2561" width="3.5546875" style="4" customWidth="1"/>
    <col min="2562" max="2562" width="3" style="4" customWidth="1"/>
    <col min="2563" max="2572" width="12.33203125" style="4" customWidth="1"/>
    <col min="2573" max="2573" width="22" style="4" customWidth="1"/>
    <col min="2574" max="2574" width="14.5546875" style="4" bestFit="1" customWidth="1"/>
    <col min="2575" max="2814" width="9.109375" style="4"/>
    <col min="2815" max="2815" width="3.33203125" style="4" customWidth="1"/>
    <col min="2816" max="2816" width="35.6640625" style="4" customWidth="1"/>
    <col min="2817" max="2817" width="3.5546875" style="4" customWidth="1"/>
    <col min="2818" max="2818" width="3" style="4" customWidth="1"/>
    <col min="2819" max="2828" width="12.33203125" style="4" customWidth="1"/>
    <col min="2829" max="2829" width="22" style="4" customWidth="1"/>
    <col min="2830" max="2830" width="14.5546875" style="4" bestFit="1" customWidth="1"/>
    <col min="2831" max="3070" width="9.109375" style="4"/>
    <col min="3071" max="3071" width="3.33203125" style="4" customWidth="1"/>
    <col min="3072" max="3072" width="35.6640625" style="4" customWidth="1"/>
    <col min="3073" max="3073" width="3.5546875" style="4" customWidth="1"/>
    <col min="3074" max="3074" width="3" style="4" customWidth="1"/>
    <col min="3075" max="3084" width="12.33203125" style="4" customWidth="1"/>
    <col min="3085" max="3085" width="22" style="4" customWidth="1"/>
    <col min="3086" max="3086" width="14.5546875" style="4" bestFit="1" customWidth="1"/>
    <col min="3087" max="3326" width="9.109375" style="4"/>
    <col min="3327" max="3327" width="3.33203125" style="4" customWidth="1"/>
    <col min="3328" max="3328" width="35.6640625" style="4" customWidth="1"/>
    <col min="3329" max="3329" width="3.5546875" style="4" customWidth="1"/>
    <col min="3330" max="3330" width="3" style="4" customWidth="1"/>
    <col min="3331" max="3340" width="12.33203125" style="4" customWidth="1"/>
    <col min="3341" max="3341" width="22" style="4" customWidth="1"/>
    <col min="3342" max="3342" width="14.5546875" style="4" bestFit="1" customWidth="1"/>
    <col min="3343" max="3582" width="9.109375" style="4"/>
    <col min="3583" max="3583" width="3.33203125" style="4" customWidth="1"/>
    <col min="3584" max="3584" width="35.6640625" style="4" customWidth="1"/>
    <col min="3585" max="3585" width="3.5546875" style="4" customWidth="1"/>
    <col min="3586" max="3586" width="3" style="4" customWidth="1"/>
    <col min="3587" max="3596" width="12.33203125" style="4" customWidth="1"/>
    <col min="3597" max="3597" width="22" style="4" customWidth="1"/>
    <col min="3598" max="3598" width="14.5546875" style="4" bestFit="1" customWidth="1"/>
    <col min="3599" max="3838" width="9.109375" style="4"/>
    <col min="3839" max="3839" width="3.33203125" style="4" customWidth="1"/>
    <col min="3840" max="3840" width="35.6640625" style="4" customWidth="1"/>
    <col min="3841" max="3841" width="3.5546875" style="4" customWidth="1"/>
    <col min="3842" max="3842" width="3" style="4" customWidth="1"/>
    <col min="3843" max="3852" width="12.33203125" style="4" customWidth="1"/>
    <col min="3853" max="3853" width="22" style="4" customWidth="1"/>
    <col min="3854" max="3854" width="14.5546875" style="4" bestFit="1" customWidth="1"/>
    <col min="3855" max="4094" width="9.109375" style="4"/>
    <col min="4095" max="4095" width="3.33203125" style="4" customWidth="1"/>
    <col min="4096" max="4096" width="35.6640625" style="4" customWidth="1"/>
    <col min="4097" max="4097" width="3.5546875" style="4" customWidth="1"/>
    <col min="4098" max="4098" width="3" style="4" customWidth="1"/>
    <col min="4099" max="4108" width="12.33203125" style="4" customWidth="1"/>
    <col min="4109" max="4109" width="22" style="4" customWidth="1"/>
    <col min="4110" max="4110" width="14.5546875" style="4" bestFit="1" customWidth="1"/>
    <col min="4111" max="4350" width="9.109375" style="4"/>
    <col min="4351" max="4351" width="3.33203125" style="4" customWidth="1"/>
    <col min="4352" max="4352" width="35.6640625" style="4" customWidth="1"/>
    <col min="4353" max="4353" width="3.5546875" style="4" customWidth="1"/>
    <col min="4354" max="4354" width="3" style="4" customWidth="1"/>
    <col min="4355" max="4364" width="12.33203125" style="4" customWidth="1"/>
    <col min="4365" max="4365" width="22" style="4" customWidth="1"/>
    <col min="4366" max="4366" width="14.5546875" style="4" bestFit="1" customWidth="1"/>
    <col min="4367" max="4606" width="9.109375" style="4"/>
    <col min="4607" max="4607" width="3.33203125" style="4" customWidth="1"/>
    <col min="4608" max="4608" width="35.6640625" style="4" customWidth="1"/>
    <col min="4609" max="4609" width="3.5546875" style="4" customWidth="1"/>
    <col min="4610" max="4610" width="3" style="4" customWidth="1"/>
    <col min="4611" max="4620" width="12.33203125" style="4" customWidth="1"/>
    <col min="4621" max="4621" width="22" style="4" customWidth="1"/>
    <col min="4622" max="4622" width="14.5546875" style="4" bestFit="1" customWidth="1"/>
    <col min="4623" max="4862" width="9.109375" style="4"/>
    <col min="4863" max="4863" width="3.33203125" style="4" customWidth="1"/>
    <col min="4864" max="4864" width="35.6640625" style="4" customWidth="1"/>
    <col min="4865" max="4865" width="3.5546875" style="4" customWidth="1"/>
    <col min="4866" max="4866" width="3" style="4" customWidth="1"/>
    <col min="4867" max="4876" width="12.33203125" style="4" customWidth="1"/>
    <col min="4877" max="4877" width="22" style="4" customWidth="1"/>
    <col min="4878" max="4878" width="14.5546875" style="4" bestFit="1" customWidth="1"/>
    <col min="4879" max="5118" width="9.109375" style="4"/>
    <col min="5119" max="5119" width="3.33203125" style="4" customWidth="1"/>
    <col min="5120" max="5120" width="35.6640625" style="4" customWidth="1"/>
    <col min="5121" max="5121" width="3.5546875" style="4" customWidth="1"/>
    <col min="5122" max="5122" width="3" style="4" customWidth="1"/>
    <col min="5123" max="5132" width="12.33203125" style="4" customWidth="1"/>
    <col min="5133" max="5133" width="22" style="4" customWidth="1"/>
    <col min="5134" max="5134" width="14.5546875" style="4" bestFit="1" customWidth="1"/>
    <col min="5135" max="5374" width="9.109375" style="4"/>
    <col min="5375" max="5375" width="3.33203125" style="4" customWidth="1"/>
    <col min="5376" max="5376" width="35.6640625" style="4" customWidth="1"/>
    <col min="5377" max="5377" width="3.5546875" style="4" customWidth="1"/>
    <col min="5378" max="5378" width="3" style="4" customWidth="1"/>
    <col min="5379" max="5388" width="12.33203125" style="4" customWidth="1"/>
    <col min="5389" max="5389" width="22" style="4" customWidth="1"/>
    <col min="5390" max="5390" width="14.5546875" style="4" bestFit="1" customWidth="1"/>
    <col min="5391" max="5630" width="9.109375" style="4"/>
    <col min="5631" max="5631" width="3.33203125" style="4" customWidth="1"/>
    <col min="5632" max="5632" width="35.6640625" style="4" customWidth="1"/>
    <col min="5633" max="5633" width="3.5546875" style="4" customWidth="1"/>
    <col min="5634" max="5634" width="3" style="4" customWidth="1"/>
    <col min="5635" max="5644" width="12.33203125" style="4" customWidth="1"/>
    <col min="5645" max="5645" width="22" style="4" customWidth="1"/>
    <col min="5646" max="5646" width="14.5546875" style="4" bestFit="1" customWidth="1"/>
    <col min="5647" max="5886" width="9.109375" style="4"/>
    <col min="5887" max="5887" width="3.33203125" style="4" customWidth="1"/>
    <col min="5888" max="5888" width="35.6640625" style="4" customWidth="1"/>
    <col min="5889" max="5889" width="3.5546875" style="4" customWidth="1"/>
    <col min="5890" max="5890" width="3" style="4" customWidth="1"/>
    <col min="5891" max="5900" width="12.33203125" style="4" customWidth="1"/>
    <col min="5901" max="5901" width="22" style="4" customWidth="1"/>
    <col min="5902" max="5902" width="14.5546875" style="4" bestFit="1" customWidth="1"/>
    <col min="5903" max="6142" width="9.109375" style="4"/>
    <col min="6143" max="6143" width="3.33203125" style="4" customWidth="1"/>
    <col min="6144" max="6144" width="35.6640625" style="4" customWidth="1"/>
    <col min="6145" max="6145" width="3.5546875" style="4" customWidth="1"/>
    <col min="6146" max="6146" width="3" style="4" customWidth="1"/>
    <col min="6147" max="6156" width="12.33203125" style="4" customWidth="1"/>
    <col min="6157" max="6157" width="22" style="4" customWidth="1"/>
    <col min="6158" max="6158" width="14.5546875" style="4" bestFit="1" customWidth="1"/>
    <col min="6159" max="6398" width="9.109375" style="4"/>
    <col min="6399" max="6399" width="3.33203125" style="4" customWidth="1"/>
    <col min="6400" max="6400" width="35.6640625" style="4" customWidth="1"/>
    <col min="6401" max="6401" width="3.5546875" style="4" customWidth="1"/>
    <col min="6402" max="6402" width="3" style="4" customWidth="1"/>
    <col min="6403" max="6412" width="12.33203125" style="4" customWidth="1"/>
    <col min="6413" max="6413" width="22" style="4" customWidth="1"/>
    <col min="6414" max="6414" width="14.5546875" style="4" bestFit="1" customWidth="1"/>
    <col min="6415" max="6654" width="9.109375" style="4"/>
    <col min="6655" max="6655" width="3.33203125" style="4" customWidth="1"/>
    <col min="6656" max="6656" width="35.6640625" style="4" customWidth="1"/>
    <col min="6657" max="6657" width="3.5546875" style="4" customWidth="1"/>
    <col min="6658" max="6658" width="3" style="4" customWidth="1"/>
    <col min="6659" max="6668" width="12.33203125" style="4" customWidth="1"/>
    <col min="6669" max="6669" width="22" style="4" customWidth="1"/>
    <col min="6670" max="6670" width="14.5546875" style="4" bestFit="1" customWidth="1"/>
    <col min="6671" max="6910" width="9.109375" style="4"/>
    <col min="6911" max="6911" width="3.33203125" style="4" customWidth="1"/>
    <col min="6912" max="6912" width="35.6640625" style="4" customWidth="1"/>
    <col min="6913" max="6913" width="3.5546875" style="4" customWidth="1"/>
    <col min="6914" max="6914" width="3" style="4" customWidth="1"/>
    <col min="6915" max="6924" width="12.33203125" style="4" customWidth="1"/>
    <col min="6925" max="6925" width="22" style="4" customWidth="1"/>
    <col min="6926" max="6926" width="14.5546875" style="4" bestFit="1" customWidth="1"/>
    <col min="6927" max="7166" width="9.109375" style="4"/>
    <col min="7167" max="7167" width="3.33203125" style="4" customWidth="1"/>
    <col min="7168" max="7168" width="35.6640625" style="4" customWidth="1"/>
    <col min="7169" max="7169" width="3.5546875" style="4" customWidth="1"/>
    <col min="7170" max="7170" width="3" style="4" customWidth="1"/>
    <col min="7171" max="7180" width="12.33203125" style="4" customWidth="1"/>
    <col min="7181" max="7181" width="22" style="4" customWidth="1"/>
    <col min="7182" max="7182" width="14.5546875" style="4" bestFit="1" customWidth="1"/>
    <col min="7183" max="7422" width="9.109375" style="4"/>
    <col min="7423" max="7423" width="3.33203125" style="4" customWidth="1"/>
    <col min="7424" max="7424" width="35.6640625" style="4" customWidth="1"/>
    <col min="7425" max="7425" width="3.5546875" style="4" customWidth="1"/>
    <col min="7426" max="7426" width="3" style="4" customWidth="1"/>
    <col min="7427" max="7436" width="12.33203125" style="4" customWidth="1"/>
    <col min="7437" max="7437" width="22" style="4" customWidth="1"/>
    <col min="7438" max="7438" width="14.5546875" style="4" bestFit="1" customWidth="1"/>
    <col min="7439" max="7678" width="9.109375" style="4"/>
    <col min="7679" max="7679" width="3.33203125" style="4" customWidth="1"/>
    <col min="7680" max="7680" width="35.6640625" style="4" customWidth="1"/>
    <col min="7681" max="7681" width="3.5546875" style="4" customWidth="1"/>
    <col min="7682" max="7682" width="3" style="4" customWidth="1"/>
    <col min="7683" max="7692" width="12.33203125" style="4" customWidth="1"/>
    <col min="7693" max="7693" width="22" style="4" customWidth="1"/>
    <col min="7694" max="7694" width="14.5546875" style="4" bestFit="1" customWidth="1"/>
    <col min="7695" max="7934" width="9.109375" style="4"/>
    <col min="7935" max="7935" width="3.33203125" style="4" customWidth="1"/>
    <col min="7936" max="7936" width="35.6640625" style="4" customWidth="1"/>
    <col min="7937" max="7937" width="3.5546875" style="4" customWidth="1"/>
    <col min="7938" max="7938" width="3" style="4" customWidth="1"/>
    <col min="7939" max="7948" width="12.33203125" style="4" customWidth="1"/>
    <col min="7949" max="7949" width="22" style="4" customWidth="1"/>
    <col min="7950" max="7950" width="14.5546875" style="4" bestFit="1" customWidth="1"/>
    <col min="7951" max="8190" width="9.109375" style="4"/>
    <col min="8191" max="8191" width="3.33203125" style="4" customWidth="1"/>
    <col min="8192" max="8192" width="35.6640625" style="4" customWidth="1"/>
    <col min="8193" max="8193" width="3.5546875" style="4" customWidth="1"/>
    <col min="8194" max="8194" width="3" style="4" customWidth="1"/>
    <col min="8195" max="8204" width="12.33203125" style="4" customWidth="1"/>
    <col min="8205" max="8205" width="22" style="4" customWidth="1"/>
    <col min="8206" max="8206" width="14.5546875" style="4" bestFit="1" customWidth="1"/>
    <col min="8207" max="8446" width="9.109375" style="4"/>
    <col min="8447" max="8447" width="3.33203125" style="4" customWidth="1"/>
    <col min="8448" max="8448" width="35.6640625" style="4" customWidth="1"/>
    <col min="8449" max="8449" width="3.5546875" style="4" customWidth="1"/>
    <col min="8450" max="8450" width="3" style="4" customWidth="1"/>
    <col min="8451" max="8460" width="12.33203125" style="4" customWidth="1"/>
    <col min="8461" max="8461" width="22" style="4" customWidth="1"/>
    <col min="8462" max="8462" width="14.5546875" style="4" bestFit="1" customWidth="1"/>
    <col min="8463" max="8702" width="9.109375" style="4"/>
    <col min="8703" max="8703" width="3.33203125" style="4" customWidth="1"/>
    <col min="8704" max="8704" width="35.6640625" style="4" customWidth="1"/>
    <col min="8705" max="8705" width="3.5546875" style="4" customWidth="1"/>
    <col min="8706" max="8706" width="3" style="4" customWidth="1"/>
    <col min="8707" max="8716" width="12.33203125" style="4" customWidth="1"/>
    <col min="8717" max="8717" width="22" style="4" customWidth="1"/>
    <col min="8718" max="8718" width="14.5546875" style="4" bestFit="1" customWidth="1"/>
    <col min="8719" max="8958" width="9.109375" style="4"/>
    <col min="8959" max="8959" width="3.33203125" style="4" customWidth="1"/>
    <col min="8960" max="8960" width="35.6640625" style="4" customWidth="1"/>
    <col min="8961" max="8961" width="3.5546875" style="4" customWidth="1"/>
    <col min="8962" max="8962" width="3" style="4" customWidth="1"/>
    <col min="8963" max="8972" width="12.33203125" style="4" customWidth="1"/>
    <col min="8973" max="8973" width="22" style="4" customWidth="1"/>
    <col min="8974" max="8974" width="14.5546875" style="4" bestFit="1" customWidth="1"/>
    <col min="8975" max="9214" width="9.109375" style="4"/>
    <col min="9215" max="9215" width="3.33203125" style="4" customWidth="1"/>
    <col min="9216" max="9216" width="35.6640625" style="4" customWidth="1"/>
    <col min="9217" max="9217" width="3.5546875" style="4" customWidth="1"/>
    <col min="9218" max="9218" width="3" style="4" customWidth="1"/>
    <col min="9219" max="9228" width="12.33203125" style="4" customWidth="1"/>
    <col min="9229" max="9229" width="22" style="4" customWidth="1"/>
    <col min="9230" max="9230" width="14.5546875" style="4" bestFit="1" customWidth="1"/>
    <col min="9231" max="9470" width="9.109375" style="4"/>
    <col min="9471" max="9471" width="3.33203125" style="4" customWidth="1"/>
    <col min="9472" max="9472" width="35.6640625" style="4" customWidth="1"/>
    <col min="9473" max="9473" width="3.5546875" style="4" customWidth="1"/>
    <col min="9474" max="9474" width="3" style="4" customWidth="1"/>
    <col min="9475" max="9484" width="12.33203125" style="4" customWidth="1"/>
    <col min="9485" max="9485" width="22" style="4" customWidth="1"/>
    <col min="9486" max="9486" width="14.5546875" style="4" bestFit="1" customWidth="1"/>
    <col min="9487" max="9726" width="9.109375" style="4"/>
    <col min="9727" max="9727" width="3.33203125" style="4" customWidth="1"/>
    <col min="9728" max="9728" width="35.6640625" style="4" customWidth="1"/>
    <col min="9729" max="9729" width="3.5546875" style="4" customWidth="1"/>
    <col min="9730" max="9730" width="3" style="4" customWidth="1"/>
    <col min="9731" max="9740" width="12.33203125" style="4" customWidth="1"/>
    <col min="9741" max="9741" width="22" style="4" customWidth="1"/>
    <col min="9742" max="9742" width="14.5546875" style="4" bestFit="1" customWidth="1"/>
    <col min="9743" max="9982" width="9.109375" style="4"/>
    <col min="9983" max="9983" width="3.33203125" style="4" customWidth="1"/>
    <col min="9984" max="9984" width="35.6640625" style="4" customWidth="1"/>
    <col min="9985" max="9985" width="3.5546875" style="4" customWidth="1"/>
    <col min="9986" max="9986" width="3" style="4" customWidth="1"/>
    <col min="9987" max="9996" width="12.33203125" style="4" customWidth="1"/>
    <col min="9997" max="9997" width="22" style="4" customWidth="1"/>
    <col min="9998" max="9998" width="14.5546875" style="4" bestFit="1" customWidth="1"/>
    <col min="9999" max="10238" width="9.109375" style="4"/>
    <col min="10239" max="10239" width="3.33203125" style="4" customWidth="1"/>
    <col min="10240" max="10240" width="35.6640625" style="4" customWidth="1"/>
    <col min="10241" max="10241" width="3.5546875" style="4" customWidth="1"/>
    <col min="10242" max="10242" width="3" style="4" customWidth="1"/>
    <col min="10243" max="10252" width="12.33203125" style="4" customWidth="1"/>
    <col min="10253" max="10253" width="22" style="4" customWidth="1"/>
    <col min="10254" max="10254" width="14.5546875" style="4" bestFit="1" customWidth="1"/>
    <col min="10255" max="10494" width="9.109375" style="4"/>
    <col min="10495" max="10495" width="3.33203125" style="4" customWidth="1"/>
    <col min="10496" max="10496" width="35.6640625" style="4" customWidth="1"/>
    <col min="10497" max="10497" width="3.5546875" style="4" customWidth="1"/>
    <col min="10498" max="10498" width="3" style="4" customWidth="1"/>
    <col min="10499" max="10508" width="12.33203125" style="4" customWidth="1"/>
    <col min="10509" max="10509" width="22" style="4" customWidth="1"/>
    <col min="10510" max="10510" width="14.5546875" style="4" bestFit="1" customWidth="1"/>
    <col min="10511" max="10750" width="9.109375" style="4"/>
    <col min="10751" max="10751" width="3.33203125" style="4" customWidth="1"/>
    <col min="10752" max="10752" width="35.6640625" style="4" customWidth="1"/>
    <col min="10753" max="10753" width="3.5546875" style="4" customWidth="1"/>
    <col min="10754" max="10754" width="3" style="4" customWidth="1"/>
    <col min="10755" max="10764" width="12.33203125" style="4" customWidth="1"/>
    <col min="10765" max="10765" width="22" style="4" customWidth="1"/>
    <col min="10766" max="10766" width="14.5546875" style="4" bestFit="1" customWidth="1"/>
    <col min="10767" max="11006" width="9.109375" style="4"/>
    <col min="11007" max="11007" width="3.33203125" style="4" customWidth="1"/>
    <col min="11008" max="11008" width="35.6640625" style="4" customWidth="1"/>
    <col min="11009" max="11009" width="3.5546875" style="4" customWidth="1"/>
    <col min="11010" max="11010" width="3" style="4" customWidth="1"/>
    <col min="11011" max="11020" width="12.33203125" style="4" customWidth="1"/>
    <col min="11021" max="11021" width="22" style="4" customWidth="1"/>
    <col min="11022" max="11022" width="14.5546875" style="4" bestFit="1" customWidth="1"/>
    <col min="11023" max="11262" width="9.109375" style="4"/>
    <col min="11263" max="11263" width="3.33203125" style="4" customWidth="1"/>
    <col min="11264" max="11264" width="35.6640625" style="4" customWidth="1"/>
    <col min="11265" max="11265" width="3.5546875" style="4" customWidth="1"/>
    <col min="11266" max="11266" width="3" style="4" customWidth="1"/>
    <col min="11267" max="11276" width="12.33203125" style="4" customWidth="1"/>
    <col min="11277" max="11277" width="22" style="4" customWidth="1"/>
    <col min="11278" max="11278" width="14.5546875" style="4" bestFit="1" customWidth="1"/>
    <col min="11279" max="11518" width="9.109375" style="4"/>
    <col min="11519" max="11519" width="3.33203125" style="4" customWidth="1"/>
    <col min="11520" max="11520" width="35.6640625" style="4" customWidth="1"/>
    <col min="11521" max="11521" width="3.5546875" style="4" customWidth="1"/>
    <col min="11522" max="11522" width="3" style="4" customWidth="1"/>
    <col min="11523" max="11532" width="12.33203125" style="4" customWidth="1"/>
    <col min="11533" max="11533" width="22" style="4" customWidth="1"/>
    <col min="11534" max="11534" width="14.5546875" style="4" bestFit="1" customWidth="1"/>
    <col min="11535" max="11774" width="9.109375" style="4"/>
    <col min="11775" max="11775" width="3.33203125" style="4" customWidth="1"/>
    <col min="11776" max="11776" width="35.6640625" style="4" customWidth="1"/>
    <col min="11777" max="11777" width="3.5546875" style="4" customWidth="1"/>
    <col min="11778" max="11778" width="3" style="4" customWidth="1"/>
    <col min="11779" max="11788" width="12.33203125" style="4" customWidth="1"/>
    <col min="11789" max="11789" width="22" style="4" customWidth="1"/>
    <col min="11790" max="11790" width="14.5546875" style="4" bestFit="1" customWidth="1"/>
    <col min="11791" max="12030" width="9.109375" style="4"/>
    <col min="12031" max="12031" width="3.33203125" style="4" customWidth="1"/>
    <col min="12032" max="12032" width="35.6640625" style="4" customWidth="1"/>
    <col min="12033" max="12033" width="3.5546875" style="4" customWidth="1"/>
    <col min="12034" max="12034" width="3" style="4" customWidth="1"/>
    <col min="12035" max="12044" width="12.33203125" style="4" customWidth="1"/>
    <col min="12045" max="12045" width="22" style="4" customWidth="1"/>
    <col min="12046" max="12046" width="14.5546875" style="4" bestFit="1" customWidth="1"/>
    <col min="12047" max="12286" width="9.109375" style="4"/>
    <col min="12287" max="12287" width="3.33203125" style="4" customWidth="1"/>
    <col min="12288" max="12288" width="35.6640625" style="4" customWidth="1"/>
    <col min="12289" max="12289" width="3.5546875" style="4" customWidth="1"/>
    <col min="12290" max="12290" width="3" style="4" customWidth="1"/>
    <col min="12291" max="12300" width="12.33203125" style="4" customWidth="1"/>
    <col min="12301" max="12301" width="22" style="4" customWidth="1"/>
    <col min="12302" max="12302" width="14.5546875" style="4" bestFit="1" customWidth="1"/>
    <col min="12303" max="12542" width="9.109375" style="4"/>
    <col min="12543" max="12543" width="3.33203125" style="4" customWidth="1"/>
    <col min="12544" max="12544" width="35.6640625" style="4" customWidth="1"/>
    <col min="12545" max="12545" width="3.5546875" style="4" customWidth="1"/>
    <col min="12546" max="12546" width="3" style="4" customWidth="1"/>
    <col min="12547" max="12556" width="12.33203125" style="4" customWidth="1"/>
    <col min="12557" max="12557" width="22" style="4" customWidth="1"/>
    <col min="12558" max="12558" width="14.5546875" style="4" bestFit="1" customWidth="1"/>
    <col min="12559" max="12798" width="9.109375" style="4"/>
    <col min="12799" max="12799" width="3.33203125" style="4" customWidth="1"/>
    <col min="12800" max="12800" width="35.6640625" style="4" customWidth="1"/>
    <col min="12801" max="12801" width="3.5546875" style="4" customWidth="1"/>
    <col min="12802" max="12802" width="3" style="4" customWidth="1"/>
    <col min="12803" max="12812" width="12.33203125" style="4" customWidth="1"/>
    <col min="12813" max="12813" width="22" style="4" customWidth="1"/>
    <col min="12814" max="12814" width="14.5546875" style="4" bestFit="1" customWidth="1"/>
    <col min="12815" max="13054" width="9.109375" style="4"/>
    <col min="13055" max="13055" width="3.33203125" style="4" customWidth="1"/>
    <col min="13056" max="13056" width="35.6640625" style="4" customWidth="1"/>
    <col min="13057" max="13057" width="3.5546875" style="4" customWidth="1"/>
    <col min="13058" max="13058" width="3" style="4" customWidth="1"/>
    <col min="13059" max="13068" width="12.33203125" style="4" customWidth="1"/>
    <col min="13069" max="13069" width="22" style="4" customWidth="1"/>
    <col min="13070" max="13070" width="14.5546875" style="4" bestFit="1" customWidth="1"/>
    <col min="13071" max="13310" width="9.109375" style="4"/>
    <col min="13311" max="13311" width="3.33203125" style="4" customWidth="1"/>
    <col min="13312" max="13312" width="35.6640625" style="4" customWidth="1"/>
    <col min="13313" max="13313" width="3.5546875" style="4" customWidth="1"/>
    <col min="13314" max="13314" width="3" style="4" customWidth="1"/>
    <col min="13315" max="13324" width="12.33203125" style="4" customWidth="1"/>
    <col min="13325" max="13325" width="22" style="4" customWidth="1"/>
    <col min="13326" max="13326" width="14.5546875" style="4" bestFit="1" customWidth="1"/>
    <col min="13327" max="13566" width="9.109375" style="4"/>
    <col min="13567" max="13567" width="3.33203125" style="4" customWidth="1"/>
    <col min="13568" max="13568" width="35.6640625" style="4" customWidth="1"/>
    <col min="13569" max="13569" width="3.5546875" style="4" customWidth="1"/>
    <col min="13570" max="13570" width="3" style="4" customWidth="1"/>
    <col min="13571" max="13580" width="12.33203125" style="4" customWidth="1"/>
    <col min="13581" max="13581" width="22" style="4" customWidth="1"/>
    <col min="13582" max="13582" width="14.5546875" style="4" bestFit="1" customWidth="1"/>
    <col min="13583" max="13822" width="9.109375" style="4"/>
    <col min="13823" max="13823" width="3.33203125" style="4" customWidth="1"/>
    <col min="13824" max="13824" width="35.6640625" style="4" customWidth="1"/>
    <col min="13825" max="13825" width="3.5546875" style="4" customWidth="1"/>
    <col min="13826" max="13826" width="3" style="4" customWidth="1"/>
    <col min="13827" max="13836" width="12.33203125" style="4" customWidth="1"/>
    <col min="13837" max="13837" width="22" style="4" customWidth="1"/>
    <col min="13838" max="13838" width="14.5546875" style="4" bestFit="1" customWidth="1"/>
    <col min="13839" max="14078" width="9.109375" style="4"/>
    <col min="14079" max="14079" width="3.33203125" style="4" customWidth="1"/>
    <col min="14080" max="14080" width="35.6640625" style="4" customWidth="1"/>
    <col min="14081" max="14081" width="3.5546875" style="4" customWidth="1"/>
    <col min="14082" max="14082" width="3" style="4" customWidth="1"/>
    <col min="14083" max="14092" width="12.33203125" style="4" customWidth="1"/>
    <col min="14093" max="14093" width="22" style="4" customWidth="1"/>
    <col min="14094" max="14094" width="14.5546875" style="4" bestFit="1" customWidth="1"/>
    <col min="14095" max="14334" width="9.109375" style="4"/>
    <col min="14335" max="14335" width="3.33203125" style="4" customWidth="1"/>
    <col min="14336" max="14336" width="35.6640625" style="4" customWidth="1"/>
    <col min="14337" max="14337" width="3.5546875" style="4" customWidth="1"/>
    <col min="14338" max="14338" width="3" style="4" customWidth="1"/>
    <col min="14339" max="14348" width="12.33203125" style="4" customWidth="1"/>
    <col min="14349" max="14349" width="22" style="4" customWidth="1"/>
    <col min="14350" max="14350" width="14.5546875" style="4" bestFit="1" customWidth="1"/>
    <col min="14351" max="14590" width="9.109375" style="4"/>
    <col min="14591" max="14591" width="3.33203125" style="4" customWidth="1"/>
    <col min="14592" max="14592" width="35.6640625" style="4" customWidth="1"/>
    <col min="14593" max="14593" width="3.5546875" style="4" customWidth="1"/>
    <col min="14594" max="14594" width="3" style="4" customWidth="1"/>
    <col min="14595" max="14604" width="12.33203125" style="4" customWidth="1"/>
    <col min="14605" max="14605" width="22" style="4" customWidth="1"/>
    <col min="14606" max="14606" width="14.5546875" style="4" bestFit="1" customWidth="1"/>
    <col min="14607" max="14846" width="9.109375" style="4"/>
    <col min="14847" max="14847" width="3.33203125" style="4" customWidth="1"/>
    <col min="14848" max="14848" width="35.6640625" style="4" customWidth="1"/>
    <col min="14849" max="14849" width="3.5546875" style="4" customWidth="1"/>
    <col min="14850" max="14850" width="3" style="4" customWidth="1"/>
    <col min="14851" max="14860" width="12.33203125" style="4" customWidth="1"/>
    <col min="14861" max="14861" width="22" style="4" customWidth="1"/>
    <col min="14862" max="14862" width="14.5546875" style="4" bestFit="1" customWidth="1"/>
    <col min="14863" max="15102" width="9.109375" style="4"/>
    <col min="15103" max="15103" width="3.33203125" style="4" customWidth="1"/>
    <col min="15104" max="15104" width="35.6640625" style="4" customWidth="1"/>
    <col min="15105" max="15105" width="3.5546875" style="4" customWidth="1"/>
    <col min="15106" max="15106" width="3" style="4" customWidth="1"/>
    <col min="15107" max="15116" width="12.33203125" style="4" customWidth="1"/>
    <col min="15117" max="15117" width="22" style="4" customWidth="1"/>
    <col min="15118" max="15118" width="14.5546875" style="4" bestFit="1" customWidth="1"/>
    <col min="15119" max="15358" width="9.109375" style="4"/>
    <col min="15359" max="15359" width="3.33203125" style="4" customWidth="1"/>
    <col min="15360" max="15360" width="35.6640625" style="4" customWidth="1"/>
    <col min="15361" max="15361" width="3.5546875" style="4" customWidth="1"/>
    <col min="15362" max="15362" width="3" style="4" customWidth="1"/>
    <col min="15363" max="15372" width="12.33203125" style="4" customWidth="1"/>
    <col min="15373" max="15373" width="22" style="4" customWidth="1"/>
    <col min="15374" max="15374" width="14.5546875" style="4" bestFit="1" customWidth="1"/>
    <col min="15375" max="15614" width="9.109375" style="4"/>
    <col min="15615" max="15615" width="3.33203125" style="4" customWidth="1"/>
    <col min="15616" max="15616" width="35.6640625" style="4" customWidth="1"/>
    <col min="15617" max="15617" width="3.5546875" style="4" customWidth="1"/>
    <col min="15618" max="15618" width="3" style="4" customWidth="1"/>
    <col min="15619" max="15628" width="12.33203125" style="4" customWidth="1"/>
    <col min="15629" max="15629" width="22" style="4" customWidth="1"/>
    <col min="15630" max="15630" width="14.5546875" style="4" bestFit="1" customWidth="1"/>
    <col min="15631" max="15870" width="9.109375" style="4"/>
    <col min="15871" max="15871" width="3.33203125" style="4" customWidth="1"/>
    <col min="15872" max="15872" width="35.6640625" style="4" customWidth="1"/>
    <col min="15873" max="15873" width="3.5546875" style="4" customWidth="1"/>
    <col min="15874" max="15874" width="3" style="4" customWidth="1"/>
    <col min="15875" max="15884" width="12.33203125" style="4" customWidth="1"/>
    <col min="15885" max="15885" width="22" style="4" customWidth="1"/>
    <col min="15886" max="15886" width="14.5546875" style="4" bestFit="1" customWidth="1"/>
    <col min="15887" max="16126" width="9.109375" style="4"/>
    <col min="16127" max="16127" width="3.33203125" style="4" customWidth="1"/>
    <col min="16128" max="16128" width="35.6640625" style="4" customWidth="1"/>
    <col min="16129" max="16129" width="3.5546875" style="4" customWidth="1"/>
    <col min="16130" max="16130" width="3" style="4" customWidth="1"/>
    <col min="16131" max="16140" width="12.33203125" style="4" customWidth="1"/>
    <col min="16141" max="16141" width="22" style="4" customWidth="1"/>
    <col min="16142" max="16142" width="14.5546875" style="4" bestFit="1" customWidth="1"/>
    <col min="16143" max="16384" width="9.109375" style="4"/>
  </cols>
  <sheetData>
    <row r="1" spans="1:14" x14ac:dyDescent="0.3">
      <c r="A1" s="43" t="s">
        <v>0</v>
      </c>
      <c r="E1" s="53" t="s">
        <v>142</v>
      </c>
      <c r="F1" s="53"/>
      <c r="G1" s="53"/>
      <c r="H1" s="54" t="s">
        <v>143</v>
      </c>
      <c r="I1" s="55"/>
      <c r="J1" s="55"/>
      <c r="K1" s="55"/>
      <c r="L1" s="55"/>
    </row>
    <row r="2" spans="1:14" s="2" customFormat="1" x14ac:dyDescent="0.3">
      <c r="A2" s="1"/>
      <c r="E2" s="70">
        <f>PnL!E2</f>
        <v>2016</v>
      </c>
      <c r="F2" s="70">
        <f>PnL!F2</f>
        <v>2017</v>
      </c>
      <c r="G2" s="70">
        <f>PnL!G2</f>
        <v>2018</v>
      </c>
      <c r="H2" s="70">
        <f>PnL!H2</f>
        <v>2019</v>
      </c>
      <c r="I2" s="70">
        <f>PnL!I2</f>
        <v>2020</v>
      </c>
      <c r="J2" s="70">
        <f>PnL!J2</f>
        <v>2021</v>
      </c>
      <c r="K2" s="70">
        <f>PnL!K2</f>
        <v>2022</v>
      </c>
      <c r="L2" s="70">
        <f>PnL!L2</f>
        <v>2023</v>
      </c>
    </row>
    <row r="3" spans="1:14" x14ac:dyDescent="0.3">
      <c r="A3" s="5" t="s">
        <v>18</v>
      </c>
    </row>
    <row r="5" spans="1:14" x14ac:dyDescent="0.3">
      <c r="A5" s="5" t="s">
        <v>19</v>
      </c>
    </row>
    <row r="7" spans="1:14" x14ac:dyDescent="0.3">
      <c r="A7" s="5" t="s">
        <v>20</v>
      </c>
    </row>
    <row r="8" spans="1:14" x14ac:dyDescent="0.3">
      <c r="A8" s="5"/>
      <c r="B8" s="4" t="s">
        <v>21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N8" s="60" t="s">
        <v>147</v>
      </c>
    </row>
    <row r="9" spans="1:14" x14ac:dyDescent="0.3">
      <c r="B9" s="4" t="s">
        <v>22</v>
      </c>
      <c r="E9" s="6">
        <v>53.75</v>
      </c>
      <c r="F9" s="6">
        <v>126.42</v>
      </c>
      <c r="G9" s="6">
        <v>176</v>
      </c>
      <c r="H9" s="56">
        <f>PnL!H10*Assumptions!H8/365</f>
        <v>121.04082172749983</v>
      </c>
      <c r="I9" s="56">
        <f>PnL!I10*Assumptions!I8/365</f>
        <v>131.20598472076952</v>
      </c>
      <c r="J9" s="56">
        <f>PnL!J10*Assumptions!J8/365</f>
        <v>142.22483110122215</v>
      </c>
      <c r="K9" s="56">
        <f>PnL!K10*Assumptions!K8/365</f>
        <v>154.16905429138669</v>
      </c>
      <c r="L9" s="56">
        <f>PnL!L10*Assumptions!L8/365</f>
        <v>167.11636861909619</v>
      </c>
      <c r="N9" s="60" t="s">
        <v>148</v>
      </c>
    </row>
    <row r="10" spans="1:14" x14ac:dyDescent="0.3">
      <c r="B10" s="4" t="s">
        <v>43</v>
      </c>
      <c r="E10" s="6">
        <v>48.71</v>
      </c>
      <c r="F10" s="6">
        <v>86.39</v>
      </c>
      <c r="G10" s="6">
        <v>133</v>
      </c>
      <c r="H10" s="56">
        <f>(PnL!H10*Assumptions!H9)/365</f>
        <v>86.721681199194336</v>
      </c>
      <c r="I10" s="56">
        <f>(PnL!I10*Assumptions!I9)/365</f>
        <v>94.004678884262944</v>
      </c>
      <c r="J10" s="56">
        <f>(PnL!J10*Assumptions!J9)/365</f>
        <v>101.8993120282761</v>
      </c>
      <c r="K10" s="56">
        <f>(PnL!K10*Assumptions!K9)/365</f>
        <v>110.45694655922327</v>
      </c>
      <c r="L10" s="56">
        <f>(PnL!L10*Assumptions!L9)/365</f>
        <v>119.73326218141213</v>
      </c>
      <c r="N10" s="60" t="s">
        <v>148</v>
      </c>
    </row>
    <row r="11" spans="1:14" x14ac:dyDescent="0.3">
      <c r="B11" s="2" t="s">
        <v>44</v>
      </c>
      <c r="C11" s="2"/>
      <c r="D11" s="2"/>
      <c r="E11" s="8">
        <v>26.740000000000002</v>
      </c>
      <c r="F11" s="8">
        <v>87.78</v>
      </c>
      <c r="G11" s="8">
        <v>115</v>
      </c>
      <c r="H11" s="57">
        <f>PnL!H7*Assumptions!H10/365</f>
        <v>104.23047566259856</v>
      </c>
      <c r="I11" s="57">
        <f>PnL!I7*Assumptions!I10/365</f>
        <v>97.525949992991045</v>
      </c>
      <c r="J11" s="57">
        <f>PnL!J7*Assumptions!J10/365</f>
        <v>104.04273383976164</v>
      </c>
      <c r="K11" s="57">
        <f>PnL!K7*Assumptions!K10/365</f>
        <v>122.31210958805733</v>
      </c>
      <c r="L11" s="57">
        <f>PnL!L7*Assumptions!L10/365</f>
        <v>144.09587709845627</v>
      </c>
      <c r="N11" s="60" t="s">
        <v>148</v>
      </c>
    </row>
    <row r="12" spans="1:14" s="5" customFormat="1" ht="13.2" x14ac:dyDescent="0.25">
      <c r="B12" s="5" t="s">
        <v>23</v>
      </c>
      <c r="E12" s="45">
        <f>SUM(E8:E11)</f>
        <v>129.20000000000002</v>
      </c>
      <c r="F12" s="45">
        <f t="shared" ref="F12:L12" si="0">SUM(F8:F11)</f>
        <v>300.59000000000003</v>
      </c>
      <c r="G12" s="45">
        <f t="shared" si="0"/>
        <v>424</v>
      </c>
      <c r="H12" s="45">
        <f t="shared" si="0"/>
        <v>311.99297858929276</v>
      </c>
      <c r="I12" s="45">
        <f t="shared" si="0"/>
        <v>322.7366135980235</v>
      </c>
      <c r="J12" s="45">
        <f t="shared" si="0"/>
        <v>348.16687696925987</v>
      </c>
      <c r="K12" s="45">
        <f t="shared" si="0"/>
        <v>386.93811043866731</v>
      </c>
      <c r="L12" s="45">
        <f t="shared" si="0"/>
        <v>430.94550789896459</v>
      </c>
    </row>
    <row r="14" spans="1:14" x14ac:dyDescent="0.3">
      <c r="A14" s="5" t="s">
        <v>24</v>
      </c>
    </row>
    <row r="15" spans="1:14" x14ac:dyDescent="0.3">
      <c r="B15" s="4" t="s">
        <v>25</v>
      </c>
      <c r="E15" s="6">
        <v>0</v>
      </c>
      <c r="F15" s="6">
        <v>0</v>
      </c>
      <c r="G15" s="6">
        <v>0</v>
      </c>
      <c r="H15" s="66">
        <f>'Debt Schedule'!H18</f>
        <v>0</v>
      </c>
      <c r="I15" s="66">
        <f>'Debt Schedule'!I18</f>
        <v>0</v>
      </c>
      <c r="J15" s="66">
        <f>'Debt Schedule'!J18</f>
        <v>0</v>
      </c>
      <c r="K15" s="66">
        <f>'Debt Schedule'!K18</f>
        <v>0</v>
      </c>
      <c r="L15" s="66">
        <f>'Debt Schedule'!L18</f>
        <v>0</v>
      </c>
      <c r="N15" s="60" t="s">
        <v>146</v>
      </c>
    </row>
    <row r="16" spans="1:14" x14ac:dyDescent="0.3">
      <c r="B16" s="2" t="s">
        <v>26</v>
      </c>
      <c r="C16" s="2"/>
      <c r="D16" s="2"/>
      <c r="E16" s="8">
        <v>200</v>
      </c>
      <c r="F16" s="8">
        <v>190</v>
      </c>
      <c r="G16" s="8">
        <v>380</v>
      </c>
      <c r="H16" s="68">
        <f>'Debt Schedule'!H8</f>
        <v>360</v>
      </c>
      <c r="I16" s="68">
        <f>'Debt Schedule'!I8</f>
        <v>340</v>
      </c>
      <c r="J16" s="68">
        <f>'Debt Schedule'!J8</f>
        <v>320</v>
      </c>
      <c r="K16" s="68">
        <f>'Debt Schedule'!K8</f>
        <v>300</v>
      </c>
      <c r="L16" s="68">
        <f>'Debt Schedule'!L8</f>
        <v>280</v>
      </c>
      <c r="N16" s="60" t="s">
        <v>146</v>
      </c>
    </row>
    <row r="17" spans="1:14" s="5" customFormat="1" ht="13.2" x14ac:dyDescent="0.25">
      <c r="B17" s="5" t="s">
        <v>27</v>
      </c>
      <c r="E17" s="45">
        <f>SUM(E15:E16)</f>
        <v>200</v>
      </c>
      <c r="F17" s="45">
        <f t="shared" ref="F17:L17" si="1">SUM(F15:F16)</f>
        <v>190</v>
      </c>
      <c r="G17" s="45">
        <f t="shared" si="1"/>
        <v>380</v>
      </c>
      <c r="H17" s="45">
        <f t="shared" si="1"/>
        <v>360</v>
      </c>
      <c r="I17" s="45">
        <f t="shared" si="1"/>
        <v>340</v>
      </c>
      <c r="J17" s="45">
        <f t="shared" si="1"/>
        <v>320</v>
      </c>
      <c r="K17" s="45">
        <f t="shared" si="1"/>
        <v>300</v>
      </c>
      <c r="L17" s="45">
        <f t="shared" si="1"/>
        <v>280</v>
      </c>
    </row>
    <row r="19" spans="1:14" x14ac:dyDescent="0.3">
      <c r="A19" s="5" t="s">
        <v>28</v>
      </c>
      <c r="E19" s="12"/>
      <c r="F19" s="12"/>
      <c r="G19" s="12"/>
    </row>
    <row r="20" spans="1:14" x14ac:dyDescent="0.3">
      <c r="B20" s="4" t="s">
        <v>29</v>
      </c>
      <c r="E20" s="6">
        <v>50</v>
      </c>
      <c r="F20" s="6">
        <v>50</v>
      </c>
      <c r="G20" s="6">
        <v>50</v>
      </c>
      <c r="H20" s="66">
        <f>'Equity Sch_Other'!H7</f>
        <v>50</v>
      </c>
      <c r="I20" s="66">
        <f>'Equity Sch_Other'!I7</f>
        <v>50</v>
      </c>
      <c r="J20" s="66">
        <f>'Equity Sch_Other'!J7</f>
        <v>50</v>
      </c>
      <c r="K20" s="66">
        <f>'Equity Sch_Other'!K7</f>
        <v>50</v>
      </c>
      <c r="L20" s="66">
        <f>'Equity Sch_Other'!L7</f>
        <v>50</v>
      </c>
      <c r="N20" s="60" t="s">
        <v>150</v>
      </c>
    </row>
    <row r="21" spans="1:14" x14ac:dyDescent="0.3">
      <c r="B21" s="2" t="s">
        <v>30</v>
      </c>
      <c r="C21" s="2"/>
      <c r="D21" s="2"/>
      <c r="E21" s="8">
        <v>4.3099999999999969</v>
      </c>
      <c r="F21" s="8">
        <v>16.059999999999967</v>
      </c>
      <c r="G21" s="8">
        <v>57.36</v>
      </c>
      <c r="H21" s="68">
        <f ca="1">'Equity Sch_Other'!H13</f>
        <v>152.93003470687108</v>
      </c>
      <c r="I21" s="68">
        <f ca="1">'Equity Sch_Other'!I13</f>
        <v>213.3029814827301</v>
      </c>
      <c r="J21" s="68">
        <f ca="1">'Equity Sch_Other'!J13</f>
        <v>281.60975939158556</v>
      </c>
      <c r="K21" s="68">
        <f ca="1">'Equity Sch_Other'!K13</f>
        <v>397.33062029938333</v>
      </c>
      <c r="L21" s="68">
        <f ca="1">'Equity Sch_Other'!L13</f>
        <v>566.3639874130522</v>
      </c>
      <c r="N21" s="60" t="s">
        <v>150</v>
      </c>
    </row>
    <row r="22" spans="1:14" s="5" customFormat="1" ht="13.2" x14ac:dyDescent="0.25">
      <c r="B22" s="5" t="s">
        <v>31</v>
      </c>
      <c r="E22" s="45">
        <f>E20+E21</f>
        <v>54.309999999999995</v>
      </c>
      <c r="F22" s="45">
        <f>F20+F21</f>
        <v>66.059999999999974</v>
      </c>
      <c r="G22" s="45">
        <f t="shared" ref="G22:L22" si="2">G20+G21</f>
        <v>107.36</v>
      </c>
      <c r="H22" s="45">
        <f t="shared" ca="1" si="2"/>
        <v>202.93003470687108</v>
      </c>
      <c r="I22" s="45">
        <f t="shared" ca="1" si="2"/>
        <v>263.3029814827301</v>
      </c>
      <c r="J22" s="45">
        <f t="shared" ca="1" si="2"/>
        <v>331.60975939158556</v>
      </c>
      <c r="K22" s="45">
        <f t="shared" ca="1" si="2"/>
        <v>447.33062029938333</v>
      </c>
      <c r="L22" s="45">
        <f t="shared" ca="1" si="2"/>
        <v>616.3639874130522</v>
      </c>
    </row>
    <row r="24" spans="1:14" s="5" customFormat="1" ht="13.8" thickBot="1" x14ac:dyDescent="0.3">
      <c r="A24" s="11" t="s">
        <v>32</v>
      </c>
      <c r="B24" s="11"/>
      <c r="C24" s="11"/>
      <c r="D24" s="11"/>
      <c r="E24" s="48">
        <f>E12+E17+E22</f>
        <v>383.51000000000005</v>
      </c>
      <c r="F24" s="48">
        <f t="shared" ref="F24:L24" si="3">F12+F17+F22</f>
        <v>556.65</v>
      </c>
      <c r="G24" s="48">
        <f t="shared" si="3"/>
        <v>911.36</v>
      </c>
      <c r="H24" s="48">
        <f t="shared" ca="1" si="3"/>
        <v>874.92301329616384</v>
      </c>
      <c r="I24" s="48">
        <f t="shared" ca="1" si="3"/>
        <v>926.03959508075354</v>
      </c>
      <c r="J24" s="48">
        <f t="shared" ca="1" si="3"/>
        <v>999.77663636084549</v>
      </c>
      <c r="K24" s="48">
        <f t="shared" ca="1" si="3"/>
        <v>1134.2687307380506</v>
      </c>
      <c r="L24" s="48">
        <f t="shared" ca="1" si="3"/>
        <v>1327.3094953120167</v>
      </c>
    </row>
    <row r="25" spans="1:14" ht="15" thickTop="1" x14ac:dyDescent="0.3"/>
    <row r="26" spans="1:14" x14ac:dyDescent="0.3">
      <c r="A26" s="5" t="s">
        <v>33</v>
      </c>
      <c r="E26" s="31"/>
      <c r="F26" s="31"/>
      <c r="G26" s="31"/>
      <c r="H26" s="31"/>
      <c r="I26" s="31"/>
      <c r="J26" s="31"/>
      <c r="K26" s="31"/>
      <c r="L26" s="31"/>
    </row>
    <row r="27" spans="1:14" x14ac:dyDescent="0.3">
      <c r="E27" s="12"/>
      <c r="F27" s="12"/>
      <c r="G27" s="12"/>
    </row>
    <row r="28" spans="1:14" x14ac:dyDescent="0.3">
      <c r="A28" s="5" t="s">
        <v>34</v>
      </c>
    </row>
    <row r="29" spans="1:14" x14ac:dyDescent="0.3">
      <c r="B29" s="4" t="s">
        <v>45</v>
      </c>
      <c r="E29" s="6">
        <v>41.18</v>
      </c>
      <c r="F29" s="6">
        <v>140.01999999999998</v>
      </c>
      <c r="G29" s="6">
        <v>169.36</v>
      </c>
      <c r="H29" s="97">
        <f ca="1">CF!H41</f>
        <v>337.97611853099232</v>
      </c>
      <c r="I29" s="97">
        <f ca="1">CF!I41</f>
        <v>434.73905692238509</v>
      </c>
      <c r="J29" s="97">
        <f ca="1">CF!J41</f>
        <v>531.96442158615685</v>
      </c>
      <c r="K29" s="97">
        <f ca="1">CF!K41</f>
        <v>670.16044392743106</v>
      </c>
      <c r="L29" s="97">
        <f ca="1">CF!L41</f>
        <v>860.60585634623783</v>
      </c>
      <c r="N29" s="60" t="s">
        <v>147</v>
      </c>
    </row>
    <row r="30" spans="1:14" x14ac:dyDescent="0.3">
      <c r="B30" s="4" t="s">
        <v>90</v>
      </c>
      <c r="E30" s="6">
        <v>80.2</v>
      </c>
      <c r="F30" s="6">
        <v>122.67</v>
      </c>
      <c r="G30" s="6">
        <v>225</v>
      </c>
      <c r="H30" s="56">
        <f>PnL!H7*Assumptions!H7/365</f>
        <v>171.13355267000526</v>
      </c>
      <c r="I30" s="56">
        <f>PnL!I7*Assumptions!I7/365</f>
        <v>160.12555055245477</v>
      </c>
      <c r="J30" s="56">
        <f>PnL!J7*Assumptions!J7/365</f>
        <v>170.82530381166916</v>
      </c>
      <c r="K30" s="56">
        <f>PnL!K7*Assumptions!K7/365</f>
        <v>200.82135973479268</v>
      </c>
      <c r="L30" s="56">
        <f>PnL!L7*Assumptions!L7/365</f>
        <v>236.58761236765596</v>
      </c>
      <c r="N30" s="60" t="s">
        <v>148</v>
      </c>
    </row>
    <row r="31" spans="1:14" x14ac:dyDescent="0.3">
      <c r="B31" s="4" t="s">
        <v>46</v>
      </c>
      <c r="E31" s="6">
        <v>60.41</v>
      </c>
      <c r="F31" s="6">
        <v>111.99</v>
      </c>
      <c r="G31" s="6">
        <v>175</v>
      </c>
      <c r="H31" s="56">
        <f>PnL!H10*Assumptions!H6/365</f>
        <v>63.843342095166228</v>
      </c>
      <c r="I31" s="56">
        <f>PnL!I10*Assumptions!I6/365</f>
        <v>69.204987605913743</v>
      </c>
      <c r="J31" s="56">
        <f>PnL!J10*Assumptions!J6/365</f>
        <v>75.016910963019427</v>
      </c>
      <c r="K31" s="56">
        <f>PnL!K10*Assumptions!K6/365</f>
        <v>81.316927075826797</v>
      </c>
      <c r="L31" s="56">
        <f>PnL!L10*Assumptions!L6/365</f>
        <v>88.146026598122958</v>
      </c>
      <c r="N31" s="60" t="s">
        <v>148</v>
      </c>
    </row>
    <row r="32" spans="1:14" x14ac:dyDescent="0.3">
      <c r="B32" s="2" t="s">
        <v>47</v>
      </c>
      <c r="C32" s="2"/>
      <c r="D32" s="2"/>
      <c r="E32" s="8">
        <v>21.72</v>
      </c>
      <c r="F32" s="8">
        <v>21.97</v>
      </c>
      <c r="G32" s="8">
        <v>22</v>
      </c>
      <c r="H32" s="67">
        <f>Assumptions!H12</f>
        <v>21.97</v>
      </c>
      <c r="I32" s="67">
        <f>Assumptions!I12</f>
        <v>21.97</v>
      </c>
      <c r="J32" s="67">
        <f>Assumptions!J12</f>
        <v>21.97</v>
      </c>
      <c r="K32" s="67">
        <f>Assumptions!K12</f>
        <v>21.97</v>
      </c>
      <c r="L32" s="67">
        <f>Assumptions!L12</f>
        <v>21.97</v>
      </c>
      <c r="N32" s="60" t="s">
        <v>151</v>
      </c>
    </row>
    <row r="33" spans="1:14" s="5" customFormat="1" ht="13.2" x14ac:dyDescent="0.25">
      <c r="B33" s="5" t="s">
        <v>35</v>
      </c>
      <c r="E33" s="45">
        <f>SUM(E29:E32)</f>
        <v>203.51</v>
      </c>
      <c r="F33" s="45">
        <f t="shared" ref="F33:L33" si="4">SUM(F29:F32)</f>
        <v>396.65</v>
      </c>
      <c r="G33" s="45">
        <f t="shared" si="4"/>
        <v>591.36</v>
      </c>
      <c r="H33" s="45">
        <f t="shared" ca="1" si="4"/>
        <v>594.92301329616384</v>
      </c>
      <c r="I33" s="45">
        <f t="shared" ca="1" si="4"/>
        <v>686.03959508075366</v>
      </c>
      <c r="J33" s="45">
        <f t="shared" ca="1" si="4"/>
        <v>799.77663636084549</v>
      </c>
      <c r="K33" s="45">
        <f t="shared" ca="1" si="4"/>
        <v>974.26873073805052</v>
      </c>
      <c r="L33" s="45">
        <f t="shared" ca="1" si="4"/>
        <v>1207.3094953120167</v>
      </c>
    </row>
    <row r="35" spans="1:14" x14ac:dyDescent="0.3">
      <c r="A35" s="5" t="s">
        <v>36</v>
      </c>
    </row>
    <row r="36" spans="1:14" x14ac:dyDescent="0.3">
      <c r="B36" s="4" t="s">
        <v>37</v>
      </c>
      <c r="E36" s="6">
        <v>200</v>
      </c>
      <c r="F36" s="6">
        <v>200</v>
      </c>
      <c r="G36" s="6">
        <v>400</v>
      </c>
      <c r="H36" s="66">
        <f>'Asset Schedule'!H26</f>
        <v>400</v>
      </c>
      <c r="I36" s="66">
        <f>'Asset Schedule'!I26</f>
        <v>400</v>
      </c>
      <c r="J36" s="66">
        <f>'Asset Schedule'!J26</f>
        <v>400</v>
      </c>
      <c r="K36" s="66">
        <f>'Asset Schedule'!K26</f>
        <v>400</v>
      </c>
      <c r="L36" s="66">
        <f>'Asset Schedule'!L26</f>
        <v>400</v>
      </c>
      <c r="N36" s="60" t="s">
        <v>145</v>
      </c>
    </row>
    <row r="37" spans="1:14" x14ac:dyDescent="0.3">
      <c r="B37" s="2" t="s">
        <v>38</v>
      </c>
      <c r="C37" s="2"/>
      <c r="D37" s="2"/>
      <c r="E37" s="8">
        <v>20</v>
      </c>
      <c r="F37" s="8">
        <v>40</v>
      </c>
      <c r="G37" s="8">
        <v>80</v>
      </c>
      <c r="H37" s="68">
        <f>'Asset Schedule'!H31</f>
        <v>120</v>
      </c>
      <c r="I37" s="68">
        <f>'Asset Schedule'!I31</f>
        <v>160</v>
      </c>
      <c r="J37" s="68">
        <f>'Asset Schedule'!J31</f>
        <v>200</v>
      </c>
      <c r="K37" s="68">
        <f>'Asset Schedule'!K31</f>
        <v>240</v>
      </c>
      <c r="L37" s="68">
        <f>'Asset Schedule'!L31</f>
        <v>280</v>
      </c>
      <c r="N37" s="60" t="s">
        <v>145</v>
      </c>
    </row>
    <row r="38" spans="1:14" s="5" customFormat="1" ht="13.2" x14ac:dyDescent="0.25">
      <c r="B38" s="5" t="s">
        <v>39</v>
      </c>
      <c r="E38" s="45">
        <f>E36-E37</f>
        <v>180</v>
      </c>
      <c r="F38" s="45">
        <f t="shared" ref="F38:L38" si="5">F36-F37</f>
        <v>160</v>
      </c>
      <c r="G38" s="45">
        <f t="shared" si="5"/>
        <v>320</v>
      </c>
      <c r="H38" s="45">
        <f t="shared" si="5"/>
        <v>280</v>
      </c>
      <c r="I38" s="45">
        <f t="shared" si="5"/>
        <v>240</v>
      </c>
      <c r="J38" s="45">
        <f t="shared" si="5"/>
        <v>200</v>
      </c>
      <c r="K38" s="45">
        <f t="shared" si="5"/>
        <v>160</v>
      </c>
      <c r="L38" s="45">
        <f t="shared" si="5"/>
        <v>120</v>
      </c>
    </row>
    <row r="39" spans="1:14" x14ac:dyDescent="0.3">
      <c r="B39" s="4" t="s">
        <v>40</v>
      </c>
      <c r="E39" s="6">
        <v>0</v>
      </c>
      <c r="F39" s="6">
        <v>0</v>
      </c>
      <c r="G39" s="6">
        <v>0</v>
      </c>
      <c r="H39" s="7"/>
      <c r="I39" s="7"/>
      <c r="J39" s="7"/>
      <c r="K39" s="7"/>
      <c r="L39" s="7"/>
      <c r="N39" s="60" t="s">
        <v>152</v>
      </c>
    </row>
    <row r="41" spans="1:14" s="5" customFormat="1" ht="13.8" thickBot="1" x14ac:dyDescent="0.3">
      <c r="A41" s="11" t="s">
        <v>41</v>
      </c>
      <c r="B41" s="11"/>
      <c r="C41" s="11"/>
      <c r="D41" s="11"/>
      <c r="E41" s="48">
        <f>E33+E38</f>
        <v>383.51</v>
      </c>
      <c r="F41" s="48">
        <f t="shared" ref="F41:L41" si="6">F33+F38</f>
        <v>556.65</v>
      </c>
      <c r="G41" s="48">
        <f t="shared" si="6"/>
        <v>911.36</v>
      </c>
      <c r="H41" s="48">
        <f t="shared" ca="1" si="6"/>
        <v>874.92301329616384</v>
      </c>
      <c r="I41" s="48">
        <f t="shared" ca="1" si="6"/>
        <v>926.03959508075366</v>
      </c>
      <c r="J41" s="48">
        <f t="shared" ca="1" si="6"/>
        <v>999.77663636084549</v>
      </c>
      <c r="K41" s="48">
        <f t="shared" ca="1" si="6"/>
        <v>1134.2687307380506</v>
      </c>
      <c r="L41" s="48">
        <f t="shared" ca="1" si="6"/>
        <v>1327.3094953120167</v>
      </c>
    </row>
    <row r="42" spans="1:14" ht="15" thickTop="1" x14ac:dyDescent="0.3"/>
    <row r="45" spans="1:14" x14ac:dyDescent="0.3">
      <c r="B45" s="4" t="s">
        <v>42</v>
      </c>
      <c r="E45" s="112">
        <f>E24-E41</f>
        <v>0</v>
      </c>
      <c r="F45" s="112">
        <f t="shared" ref="F45:L45" si="7">F24-F41</f>
        <v>0</v>
      </c>
      <c r="G45" s="112">
        <f t="shared" si="7"/>
        <v>0</v>
      </c>
      <c r="H45" s="112">
        <f t="shared" ca="1" si="7"/>
        <v>0</v>
      </c>
      <c r="I45" s="112">
        <f t="shared" ca="1" si="7"/>
        <v>0</v>
      </c>
      <c r="J45" s="112">
        <f t="shared" ca="1" si="7"/>
        <v>0</v>
      </c>
      <c r="K45" s="112">
        <f t="shared" ca="1" si="7"/>
        <v>0</v>
      </c>
      <c r="L45" s="112">
        <f t="shared" ca="1" si="7"/>
        <v>0</v>
      </c>
    </row>
    <row r="47" spans="1:14" x14ac:dyDescent="0.3">
      <c r="E47" s="13"/>
      <c r="F47" s="13"/>
      <c r="G47" s="13"/>
      <c r="H47" s="13"/>
      <c r="I47" s="13"/>
      <c r="J47" s="13"/>
      <c r="K47" s="13"/>
      <c r="L4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showGridLines="0" workbookViewId="0">
      <pane xSplit="4" ySplit="2" topLeftCell="E12" activePane="bottomRight" state="frozen"/>
      <selection pane="topRight" activeCell="E1" sqref="E1"/>
      <selection pane="bottomLeft" activeCell="A3" sqref="A3"/>
      <selection pane="bottomRight" activeCell="E31" sqref="E31"/>
    </sheetView>
  </sheetViews>
  <sheetFormatPr defaultRowHeight="14.4" x14ac:dyDescent="0.3"/>
  <cols>
    <col min="1" max="1" width="3.33203125" style="4" customWidth="1"/>
    <col min="2" max="2" width="31.88671875" style="4" customWidth="1"/>
    <col min="3" max="3" width="10" style="4" bestFit="1" customWidth="1"/>
    <col min="4" max="4" width="2.88671875" style="4" customWidth="1"/>
    <col min="5" max="12" width="11.44140625" style="4" customWidth="1"/>
    <col min="13" max="13" width="9.33203125" style="4" bestFit="1" customWidth="1"/>
    <col min="14" max="254" width="9.109375" style="4"/>
    <col min="255" max="255" width="3.33203125" style="4" customWidth="1"/>
    <col min="256" max="256" width="31.88671875" style="4" customWidth="1"/>
    <col min="257" max="257" width="10" style="4" bestFit="1" customWidth="1"/>
    <col min="258" max="258" width="2.88671875" style="4" customWidth="1"/>
    <col min="259" max="268" width="11.44140625" style="4" customWidth="1"/>
    <col min="269" max="269" width="9.33203125" style="4" bestFit="1" customWidth="1"/>
    <col min="270" max="510" width="9.109375" style="4"/>
    <col min="511" max="511" width="3.33203125" style="4" customWidth="1"/>
    <col min="512" max="512" width="31.88671875" style="4" customWidth="1"/>
    <col min="513" max="513" width="10" style="4" bestFit="1" customWidth="1"/>
    <col min="514" max="514" width="2.88671875" style="4" customWidth="1"/>
    <col min="515" max="524" width="11.44140625" style="4" customWidth="1"/>
    <col min="525" max="525" width="9.33203125" style="4" bestFit="1" customWidth="1"/>
    <col min="526" max="766" width="9.109375" style="4"/>
    <col min="767" max="767" width="3.33203125" style="4" customWidth="1"/>
    <col min="768" max="768" width="31.88671875" style="4" customWidth="1"/>
    <col min="769" max="769" width="10" style="4" bestFit="1" customWidth="1"/>
    <col min="770" max="770" width="2.88671875" style="4" customWidth="1"/>
    <col min="771" max="780" width="11.44140625" style="4" customWidth="1"/>
    <col min="781" max="781" width="9.33203125" style="4" bestFit="1" customWidth="1"/>
    <col min="782" max="1022" width="9.109375" style="4"/>
    <col min="1023" max="1023" width="3.33203125" style="4" customWidth="1"/>
    <col min="1024" max="1024" width="31.88671875" style="4" customWidth="1"/>
    <col min="1025" max="1025" width="10" style="4" bestFit="1" customWidth="1"/>
    <col min="1026" max="1026" width="2.88671875" style="4" customWidth="1"/>
    <col min="1027" max="1036" width="11.44140625" style="4" customWidth="1"/>
    <col min="1037" max="1037" width="9.33203125" style="4" bestFit="1" customWidth="1"/>
    <col min="1038" max="1278" width="9.109375" style="4"/>
    <col min="1279" max="1279" width="3.33203125" style="4" customWidth="1"/>
    <col min="1280" max="1280" width="31.88671875" style="4" customWidth="1"/>
    <col min="1281" max="1281" width="10" style="4" bestFit="1" customWidth="1"/>
    <col min="1282" max="1282" width="2.88671875" style="4" customWidth="1"/>
    <col min="1283" max="1292" width="11.44140625" style="4" customWidth="1"/>
    <col min="1293" max="1293" width="9.33203125" style="4" bestFit="1" customWidth="1"/>
    <col min="1294" max="1534" width="9.109375" style="4"/>
    <col min="1535" max="1535" width="3.33203125" style="4" customWidth="1"/>
    <col min="1536" max="1536" width="31.88671875" style="4" customWidth="1"/>
    <col min="1537" max="1537" width="10" style="4" bestFit="1" customWidth="1"/>
    <col min="1538" max="1538" width="2.88671875" style="4" customWidth="1"/>
    <col min="1539" max="1548" width="11.44140625" style="4" customWidth="1"/>
    <col min="1549" max="1549" width="9.33203125" style="4" bestFit="1" customWidth="1"/>
    <col min="1550" max="1790" width="9.109375" style="4"/>
    <col min="1791" max="1791" width="3.33203125" style="4" customWidth="1"/>
    <col min="1792" max="1792" width="31.88671875" style="4" customWidth="1"/>
    <col min="1793" max="1793" width="10" style="4" bestFit="1" customWidth="1"/>
    <col min="1794" max="1794" width="2.88671875" style="4" customWidth="1"/>
    <col min="1795" max="1804" width="11.44140625" style="4" customWidth="1"/>
    <col min="1805" max="1805" width="9.33203125" style="4" bestFit="1" customWidth="1"/>
    <col min="1806" max="2046" width="9.109375" style="4"/>
    <col min="2047" max="2047" width="3.33203125" style="4" customWidth="1"/>
    <col min="2048" max="2048" width="31.88671875" style="4" customWidth="1"/>
    <col min="2049" max="2049" width="10" style="4" bestFit="1" customWidth="1"/>
    <col min="2050" max="2050" width="2.88671875" style="4" customWidth="1"/>
    <col min="2051" max="2060" width="11.44140625" style="4" customWidth="1"/>
    <col min="2061" max="2061" width="9.33203125" style="4" bestFit="1" customWidth="1"/>
    <col min="2062" max="2302" width="9.109375" style="4"/>
    <col min="2303" max="2303" width="3.33203125" style="4" customWidth="1"/>
    <col min="2304" max="2304" width="31.88671875" style="4" customWidth="1"/>
    <col min="2305" max="2305" width="10" style="4" bestFit="1" customWidth="1"/>
    <col min="2306" max="2306" width="2.88671875" style="4" customWidth="1"/>
    <col min="2307" max="2316" width="11.44140625" style="4" customWidth="1"/>
    <col min="2317" max="2317" width="9.33203125" style="4" bestFit="1" customWidth="1"/>
    <col min="2318" max="2558" width="9.109375" style="4"/>
    <col min="2559" max="2559" width="3.33203125" style="4" customWidth="1"/>
    <col min="2560" max="2560" width="31.88671875" style="4" customWidth="1"/>
    <col min="2561" max="2561" width="10" style="4" bestFit="1" customWidth="1"/>
    <col min="2562" max="2562" width="2.88671875" style="4" customWidth="1"/>
    <col min="2563" max="2572" width="11.44140625" style="4" customWidth="1"/>
    <col min="2573" max="2573" width="9.33203125" style="4" bestFit="1" customWidth="1"/>
    <col min="2574" max="2814" width="9.109375" style="4"/>
    <col min="2815" max="2815" width="3.33203125" style="4" customWidth="1"/>
    <col min="2816" max="2816" width="31.88671875" style="4" customWidth="1"/>
    <col min="2817" max="2817" width="10" style="4" bestFit="1" customWidth="1"/>
    <col min="2818" max="2818" width="2.88671875" style="4" customWidth="1"/>
    <col min="2819" max="2828" width="11.44140625" style="4" customWidth="1"/>
    <col min="2829" max="2829" width="9.33203125" style="4" bestFit="1" customWidth="1"/>
    <col min="2830" max="3070" width="9.109375" style="4"/>
    <col min="3071" max="3071" width="3.33203125" style="4" customWidth="1"/>
    <col min="3072" max="3072" width="31.88671875" style="4" customWidth="1"/>
    <col min="3073" max="3073" width="10" style="4" bestFit="1" customWidth="1"/>
    <col min="3074" max="3074" width="2.88671875" style="4" customWidth="1"/>
    <col min="3075" max="3084" width="11.44140625" style="4" customWidth="1"/>
    <col min="3085" max="3085" width="9.33203125" style="4" bestFit="1" customWidth="1"/>
    <col min="3086" max="3326" width="9.109375" style="4"/>
    <col min="3327" max="3327" width="3.33203125" style="4" customWidth="1"/>
    <col min="3328" max="3328" width="31.88671875" style="4" customWidth="1"/>
    <col min="3329" max="3329" width="10" style="4" bestFit="1" customWidth="1"/>
    <col min="3330" max="3330" width="2.88671875" style="4" customWidth="1"/>
    <col min="3331" max="3340" width="11.44140625" style="4" customWidth="1"/>
    <col min="3341" max="3341" width="9.33203125" style="4" bestFit="1" customWidth="1"/>
    <col min="3342" max="3582" width="9.109375" style="4"/>
    <col min="3583" max="3583" width="3.33203125" style="4" customWidth="1"/>
    <col min="3584" max="3584" width="31.88671875" style="4" customWidth="1"/>
    <col min="3585" max="3585" width="10" style="4" bestFit="1" customWidth="1"/>
    <col min="3586" max="3586" width="2.88671875" style="4" customWidth="1"/>
    <col min="3587" max="3596" width="11.44140625" style="4" customWidth="1"/>
    <col min="3597" max="3597" width="9.33203125" style="4" bestFit="1" customWidth="1"/>
    <col min="3598" max="3838" width="9.109375" style="4"/>
    <col min="3839" max="3839" width="3.33203125" style="4" customWidth="1"/>
    <col min="3840" max="3840" width="31.88671875" style="4" customWidth="1"/>
    <col min="3841" max="3841" width="10" style="4" bestFit="1" customWidth="1"/>
    <col min="3842" max="3842" width="2.88671875" style="4" customWidth="1"/>
    <col min="3843" max="3852" width="11.44140625" style="4" customWidth="1"/>
    <col min="3853" max="3853" width="9.33203125" style="4" bestFit="1" customWidth="1"/>
    <col min="3854" max="4094" width="9.109375" style="4"/>
    <col min="4095" max="4095" width="3.33203125" style="4" customWidth="1"/>
    <col min="4096" max="4096" width="31.88671875" style="4" customWidth="1"/>
    <col min="4097" max="4097" width="10" style="4" bestFit="1" customWidth="1"/>
    <col min="4098" max="4098" width="2.88671875" style="4" customWidth="1"/>
    <col min="4099" max="4108" width="11.44140625" style="4" customWidth="1"/>
    <col min="4109" max="4109" width="9.33203125" style="4" bestFit="1" customWidth="1"/>
    <col min="4110" max="4350" width="9.109375" style="4"/>
    <col min="4351" max="4351" width="3.33203125" style="4" customWidth="1"/>
    <col min="4352" max="4352" width="31.88671875" style="4" customWidth="1"/>
    <col min="4353" max="4353" width="10" style="4" bestFit="1" customWidth="1"/>
    <col min="4354" max="4354" width="2.88671875" style="4" customWidth="1"/>
    <col min="4355" max="4364" width="11.44140625" style="4" customWidth="1"/>
    <col min="4365" max="4365" width="9.33203125" style="4" bestFit="1" customWidth="1"/>
    <col min="4366" max="4606" width="9.109375" style="4"/>
    <col min="4607" max="4607" width="3.33203125" style="4" customWidth="1"/>
    <col min="4608" max="4608" width="31.88671875" style="4" customWidth="1"/>
    <col min="4609" max="4609" width="10" style="4" bestFit="1" customWidth="1"/>
    <col min="4610" max="4610" width="2.88671875" style="4" customWidth="1"/>
    <col min="4611" max="4620" width="11.44140625" style="4" customWidth="1"/>
    <col min="4621" max="4621" width="9.33203125" style="4" bestFit="1" customWidth="1"/>
    <col min="4622" max="4862" width="9.109375" style="4"/>
    <col min="4863" max="4863" width="3.33203125" style="4" customWidth="1"/>
    <col min="4864" max="4864" width="31.88671875" style="4" customWidth="1"/>
    <col min="4865" max="4865" width="10" style="4" bestFit="1" customWidth="1"/>
    <col min="4866" max="4866" width="2.88671875" style="4" customWidth="1"/>
    <col min="4867" max="4876" width="11.44140625" style="4" customWidth="1"/>
    <col min="4877" max="4877" width="9.33203125" style="4" bestFit="1" customWidth="1"/>
    <col min="4878" max="5118" width="9.109375" style="4"/>
    <col min="5119" max="5119" width="3.33203125" style="4" customWidth="1"/>
    <col min="5120" max="5120" width="31.88671875" style="4" customWidth="1"/>
    <col min="5121" max="5121" width="10" style="4" bestFit="1" customWidth="1"/>
    <col min="5122" max="5122" width="2.88671875" style="4" customWidth="1"/>
    <col min="5123" max="5132" width="11.44140625" style="4" customWidth="1"/>
    <col min="5133" max="5133" width="9.33203125" style="4" bestFit="1" customWidth="1"/>
    <col min="5134" max="5374" width="9.109375" style="4"/>
    <col min="5375" max="5375" width="3.33203125" style="4" customWidth="1"/>
    <col min="5376" max="5376" width="31.88671875" style="4" customWidth="1"/>
    <col min="5377" max="5377" width="10" style="4" bestFit="1" customWidth="1"/>
    <col min="5378" max="5378" width="2.88671875" style="4" customWidth="1"/>
    <col min="5379" max="5388" width="11.44140625" style="4" customWidth="1"/>
    <col min="5389" max="5389" width="9.33203125" style="4" bestFit="1" customWidth="1"/>
    <col min="5390" max="5630" width="9.109375" style="4"/>
    <col min="5631" max="5631" width="3.33203125" style="4" customWidth="1"/>
    <col min="5632" max="5632" width="31.88671875" style="4" customWidth="1"/>
    <col min="5633" max="5633" width="10" style="4" bestFit="1" customWidth="1"/>
    <col min="5634" max="5634" width="2.88671875" style="4" customWidth="1"/>
    <col min="5635" max="5644" width="11.44140625" style="4" customWidth="1"/>
    <col min="5645" max="5645" width="9.33203125" style="4" bestFit="1" customWidth="1"/>
    <col min="5646" max="5886" width="9.109375" style="4"/>
    <col min="5887" max="5887" width="3.33203125" style="4" customWidth="1"/>
    <col min="5888" max="5888" width="31.88671875" style="4" customWidth="1"/>
    <col min="5889" max="5889" width="10" style="4" bestFit="1" customWidth="1"/>
    <col min="5890" max="5890" width="2.88671875" style="4" customWidth="1"/>
    <col min="5891" max="5900" width="11.44140625" style="4" customWidth="1"/>
    <col min="5901" max="5901" width="9.33203125" style="4" bestFit="1" customWidth="1"/>
    <col min="5902" max="6142" width="9.109375" style="4"/>
    <col min="6143" max="6143" width="3.33203125" style="4" customWidth="1"/>
    <col min="6144" max="6144" width="31.88671875" style="4" customWidth="1"/>
    <col min="6145" max="6145" width="10" style="4" bestFit="1" customWidth="1"/>
    <col min="6146" max="6146" width="2.88671875" style="4" customWidth="1"/>
    <col min="6147" max="6156" width="11.44140625" style="4" customWidth="1"/>
    <col min="6157" max="6157" width="9.33203125" style="4" bestFit="1" customWidth="1"/>
    <col min="6158" max="6398" width="9.109375" style="4"/>
    <col min="6399" max="6399" width="3.33203125" style="4" customWidth="1"/>
    <col min="6400" max="6400" width="31.88671875" style="4" customWidth="1"/>
    <col min="6401" max="6401" width="10" style="4" bestFit="1" customWidth="1"/>
    <col min="6402" max="6402" width="2.88671875" style="4" customWidth="1"/>
    <col min="6403" max="6412" width="11.44140625" style="4" customWidth="1"/>
    <col min="6413" max="6413" width="9.33203125" style="4" bestFit="1" customWidth="1"/>
    <col min="6414" max="6654" width="9.109375" style="4"/>
    <col min="6655" max="6655" width="3.33203125" style="4" customWidth="1"/>
    <col min="6656" max="6656" width="31.88671875" style="4" customWidth="1"/>
    <col min="6657" max="6657" width="10" style="4" bestFit="1" customWidth="1"/>
    <col min="6658" max="6658" width="2.88671875" style="4" customWidth="1"/>
    <col min="6659" max="6668" width="11.44140625" style="4" customWidth="1"/>
    <col min="6669" max="6669" width="9.33203125" style="4" bestFit="1" customWidth="1"/>
    <col min="6670" max="6910" width="9.109375" style="4"/>
    <col min="6911" max="6911" width="3.33203125" style="4" customWidth="1"/>
    <col min="6912" max="6912" width="31.88671875" style="4" customWidth="1"/>
    <col min="6913" max="6913" width="10" style="4" bestFit="1" customWidth="1"/>
    <col min="6914" max="6914" width="2.88671875" style="4" customWidth="1"/>
    <col min="6915" max="6924" width="11.44140625" style="4" customWidth="1"/>
    <col min="6925" max="6925" width="9.33203125" style="4" bestFit="1" customWidth="1"/>
    <col min="6926" max="7166" width="9.109375" style="4"/>
    <col min="7167" max="7167" width="3.33203125" style="4" customWidth="1"/>
    <col min="7168" max="7168" width="31.88671875" style="4" customWidth="1"/>
    <col min="7169" max="7169" width="10" style="4" bestFit="1" customWidth="1"/>
    <col min="7170" max="7170" width="2.88671875" style="4" customWidth="1"/>
    <col min="7171" max="7180" width="11.44140625" style="4" customWidth="1"/>
    <col min="7181" max="7181" width="9.33203125" style="4" bestFit="1" customWidth="1"/>
    <col min="7182" max="7422" width="9.109375" style="4"/>
    <col min="7423" max="7423" width="3.33203125" style="4" customWidth="1"/>
    <col min="7424" max="7424" width="31.88671875" style="4" customWidth="1"/>
    <col min="7425" max="7425" width="10" style="4" bestFit="1" customWidth="1"/>
    <col min="7426" max="7426" width="2.88671875" style="4" customWidth="1"/>
    <col min="7427" max="7436" width="11.44140625" style="4" customWidth="1"/>
    <col min="7437" max="7437" width="9.33203125" style="4" bestFit="1" customWidth="1"/>
    <col min="7438" max="7678" width="9.109375" style="4"/>
    <col min="7679" max="7679" width="3.33203125" style="4" customWidth="1"/>
    <col min="7680" max="7680" width="31.88671875" style="4" customWidth="1"/>
    <col min="7681" max="7681" width="10" style="4" bestFit="1" customWidth="1"/>
    <col min="7682" max="7682" width="2.88671875" style="4" customWidth="1"/>
    <col min="7683" max="7692" width="11.44140625" style="4" customWidth="1"/>
    <col min="7693" max="7693" width="9.33203125" style="4" bestFit="1" customWidth="1"/>
    <col min="7694" max="7934" width="9.109375" style="4"/>
    <col min="7935" max="7935" width="3.33203125" style="4" customWidth="1"/>
    <col min="7936" max="7936" width="31.88671875" style="4" customWidth="1"/>
    <col min="7937" max="7937" width="10" style="4" bestFit="1" customWidth="1"/>
    <col min="7938" max="7938" width="2.88671875" style="4" customWidth="1"/>
    <col min="7939" max="7948" width="11.44140625" style="4" customWidth="1"/>
    <col min="7949" max="7949" width="9.33203125" style="4" bestFit="1" customWidth="1"/>
    <col min="7950" max="8190" width="9.109375" style="4"/>
    <col min="8191" max="8191" width="3.33203125" style="4" customWidth="1"/>
    <col min="8192" max="8192" width="31.88671875" style="4" customWidth="1"/>
    <col min="8193" max="8193" width="10" style="4" bestFit="1" customWidth="1"/>
    <col min="8194" max="8194" width="2.88671875" style="4" customWidth="1"/>
    <col min="8195" max="8204" width="11.44140625" style="4" customWidth="1"/>
    <col min="8205" max="8205" width="9.33203125" style="4" bestFit="1" customWidth="1"/>
    <col min="8206" max="8446" width="9.109375" style="4"/>
    <col min="8447" max="8447" width="3.33203125" style="4" customWidth="1"/>
    <col min="8448" max="8448" width="31.88671875" style="4" customWidth="1"/>
    <col min="8449" max="8449" width="10" style="4" bestFit="1" customWidth="1"/>
    <col min="8450" max="8450" width="2.88671875" style="4" customWidth="1"/>
    <col min="8451" max="8460" width="11.44140625" style="4" customWidth="1"/>
    <col min="8461" max="8461" width="9.33203125" style="4" bestFit="1" customWidth="1"/>
    <col min="8462" max="8702" width="9.109375" style="4"/>
    <col min="8703" max="8703" width="3.33203125" style="4" customWidth="1"/>
    <col min="8704" max="8704" width="31.88671875" style="4" customWidth="1"/>
    <col min="8705" max="8705" width="10" style="4" bestFit="1" customWidth="1"/>
    <col min="8706" max="8706" width="2.88671875" style="4" customWidth="1"/>
    <col min="8707" max="8716" width="11.44140625" style="4" customWidth="1"/>
    <col min="8717" max="8717" width="9.33203125" style="4" bestFit="1" customWidth="1"/>
    <col min="8718" max="8958" width="9.109375" style="4"/>
    <col min="8959" max="8959" width="3.33203125" style="4" customWidth="1"/>
    <col min="8960" max="8960" width="31.88671875" style="4" customWidth="1"/>
    <col min="8961" max="8961" width="10" style="4" bestFit="1" customWidth="1"/>
    <col min="8962" max="8962" width="2.88671875" style="4" customWidth="1"/>
    <col min="8963" max="8972" width="11.44140625" style="4" customWidth="1"/>
    <col min="8973" max="8973" width="9.33203125" style="4" bestFit="1" customWidth="1"/>
    <col min="8974" max="9214" width="9.109375" style="4"/>
    <col min="9215" max="9215" width="3.33203125" style="4" customWidth="1"/>
    <col min="9216" max="9216" width="31.88671875" style="4" customWidth="1"/>
    <col min="9217" max="9217" width="10" style="4" bestFit="1" customWidth="1"/>
    <col min="9218" max="9218" width="2.88671875" style="4" customWidth="1"/>
    <col min="9219" max="9228" width="11.44140625" style="4" customWidth="1"/>
    <col min="9229" max="9229" width="9.33203125" style="4" bestFit="1" customWidth="1"/>
    <col min="9230" max="9470" width="9.109375" style="4"/>
    <col min="9471" max="9471" width="3.33203125" style="4" customWidth="1"/>
    <col min="9472" max="9472" width="31.88671875" style="4" customWidth="1"/>
    <col min="9473" max="9473" width="10" style="4" bestFit="1" customWidth="1"/>
    <col min="9474" max="9474" width="2.88671875" style="4" customWidth="1"/>
    <col min="9475" max="9484" width="11.44140625" style="4" customWidth="1"/>
    <col min="9485" max="9485" width="9.33203125" style="4" bestFit="1" customWidth="1"/>
    <col min="9486" max="9726" width="9.109375" style="4"/>
    <col min="9727" max="9727" width="3.33203125" style="4" customWidth="1"/>
    <col min="9728" max="9728" width="31.88671875" style="4" customWidth="1"/>
    <col min="9729" max="9729" width="10" style="4" bestFit="1" customWidth="1"/>
    <col min="9730" max="9730" width="2.88671875" style="4" customWidth="1"/>
    <col min="9731" max="9740" width="11.44140625" style="4" customWidth="1"/>
    <col min="9741" max="9741" width="9.33203125" style="4" bestFit="1" customWidth="1"/>
    <col min="9742" max="9982" width="9.109375" style="4"/>
    <col min="9983" max="9983" width="3.33203125" style="4" customWidth="1"/>
    <col min="9984" max="9984" width="31.88671875" style="4" customWidth="1"/>
    <col min="9985" max="9985" width="10" style="4" bestFit="1" customWidth="1"/>
    <col min="9986" max="9986" width="2.88671875" style="4" customWidth="1"/>
    <col min="9987" max="9996" width="11.44140625" style="4" customWidth="1"/>
    <col min="9997" max="9997" width="9.33203125" style="4" bestFit="1" customWidth="1"/>
    <col min="9998" max="10238" width="9.109375" style="4"/>
    <col min="10239" max="10239" width="3.33203125" style="4" customWidth="1"/>
    <col min="10240" max="10240" width="31.88671875" style="4" customWidth="1"/>
    <col min="10241" max="10241" width="10" style="4" bestFit="1" customWidth="1"/>
    <col min="10242" max="10242" width="2.88671875" style="4" customWidth="1"/>
    <col min="10243" max="10252" width="11.44140625" style="4" customWidth="1"/>
    <col min="10253" max="10253" width="9.33203125" style="4" bestFit="1" customWidth="1"/>
    <col min="10254" max="10494" width="9.109375" style="4"/>
    <col min="10495" max="10495" width="3.33203125" style="4" customWidth="1"/>
    <col min="10496" max="10496" width="31.88671875" style="4" customWidth="1"/>
    <col min="10497" max="10497" width="10" style="4" bestFit="1" customWidth="1"/>
    <col min="10498" max="10498" width="2.88671875" style="4" customWidth="1"/>
    <col min="10499" max="10508" width="11.44140625" style="4" customWidth="1"/>
    <col min="10509" max="10509" width="9.33203125" style="4" bestFit="1" customWidth="1"/>
    <col min="10510" max="10750" width="9.109375" style="4"/>
    <col min="10751" max="10751" width="3.33203125" style="4" customWidth="1"/>
    <col min="10752" max="10752" width="31.88671875" style="4" customWidth="1"/>
    <col min="10753" max="10753" width="10" style="4" bestFit="1" customWidth="1"/>
    <col min="10754" max="10754" width="2.88671875" style="4" customWidth="1"/>
    <col min="10755" max="10764" width="11.44140625" style="4" customWidth="1"/>
    <col min="10765" max="10765" width="9.33203125" style="4" bestFit="1" customWidth="1"/>
    <col min="10766" max="11006" width="9.109375" style="4"/>
    <col min="11007" max="11007" width="3.33203125" style="4" customWidth="1"/>
    <col min="11008" max="11008" width="31.88671875" style="4" customWidth="1"/>
    <col min="11009" max="11009" width="10" style="4" bestFit="1" customWidth="1"/>
    <col min="11010" max="11010" width="2.88671875" style="4" customWidth="1"/>
    <col min="11011" max="11020" width="11.44140625" style="4" customWidth="1"/>
    <col min="11021" max="11021" width="9.33203125" style="4" bestFit="1" customWidth="1"/>
    <col min="11022" max="11262" width="9.109375" style="4"/>
    <col min="11263" max="11263" width="3.33203125" style="4" customWidth="1"/>
    <col min="11264" max="11264" width="31.88671875" style="4" customWidth="1"/>
    <col min="11265" max="11265" width="10" style="4" bestFit="1" customWidth="1"/>
    <col min="11266" max="11266" width="2.88671875" style="4" customWidth="1"/>
    <col min="11267" max="11276" width="11.44140625" style="4" customWidth="1"/>
    <col min="11277" max="11277" width="9.33203125" style="4" bestFit="1" customWidth="1"/>
    <col min="11278" max="11518" width="9.109375" style="4"/>
    <col min="11519" max="11519" width="3.33203125" style="4" customWidth="1"/>
    <col min="11520" max="11520" width="31.88671875" style="4" customWidth="1"/>
    <col min="11521" max="11521" width="10" style="4" bestFit="1" customWidth="1"/>
    <col min="11522" max="11522" width="2.88671875" style="4" customWidth="1"/>
    <col min="11523" max="11532" width="11.44140625" style="4" customWidth="1"/>
    <col min="11533" max="11533" width="9.33203125" style="4" bestFit="1" customWidth="1"/>
    <col min="11534" max="11774" width="9.109375" style="4"/>
    <col min="11775" max="11775" width="3.33203125" style="4" customWidth="1"/>
    <col min="11776" max="11776" width="31.88671875" style="4" customWidth="1"/>
    <col min="11777" max="11777" width="10" style="4" bestFit="1" customWidth="1"/>
    <col min="11778" max="11778" width="2.88671875" style="4" customWidth="1"/>
    <col min="11779" max="11788" width="11.44140625" style="4" customWidth="1"/>
    <col min="11789" max="11789" width="9.33203125" style="4" bestFit="1" customWidth="1"/>
    <col min="11790" max="12030" width="9.109375" style="4"/>
    <col min="12031" max="12031" width="3.33203125" style="4" customWidth="1"/>
    <col min="12032" max="12032" width="31.88671875" style="4" customWidth="1"/>
    <col min="12033" max="12033" width="10" style="4" bestFit="1" customWidth="1"/>
    <col min="12034" max="12034" width="2.88671875" style="4" customWidth="1"/>
    <col min="12035" max="12044" width="11.44140625" style="4" customWidth="1"/>
    <col min="12045" max="12045" width="9.33203125" style="4" bestFit="1" customWidth="1"/>
    <col min="12046" max="12286" width="9.109375" style="4"/>
    <col min="12287" max="12287" width="3.33203125" style="4" customWidth="1"/>
    <col min="12288" max="12288" width="31.88671875" style="4" customWidth="1"/>
    <col min="12289" max="12289" width="10" style="4" bestFit="1" customWidth="1"/>
    <col min="12290" max="12290" width="2.88671875" style="4" customWidth="1"/>
    <col min="12291" max="12300" width="11.44140625" style="4" customWidth="1"/>
    <col min="12301" max="12301" width="9.33203125" style="4" bestFit="1" customWidth="1"/>
    <col min="12302" max="12542" width="9.109375" style="4"/>
    <col min="12543" max="12543" width="3.33203125" style="4" customWidth="1"/>
    <col min="12544" max="12544" width="31.88671875" style="4" customWidth="1"/>
    <col min="12545" max="12545" width="10" style="4" bestFit="1" customWidth="1"/>
    <col min="12546" max="12546" width="2.88671875" style="4" customWidth="1"/>
    <col min="12547" max="12556" width="11.44140625" style="4" customWidth="1"/>
    <col min="12557" max="12557" width="9.33203125" style="4" bestFit="1" customWidth="1"/>
    <col min="12558" max="12798" width="9.109375" style="4"/>
    <col min="12799" max="12799" width="3.33203125" style="4" customWidth="1"/>
    <col min="12800" max="12800" width="31.88671875" style="4" customWidth="1"/>
    <col min="12801" max="12801" width="10" style="4" bestFit="1" customWidth="1"/>
    <col min="12802" max="12802" width="2.88671875" style="4" customWidth="1"/>
    <col min="12803" max="12812" width="11.44140625" style="4" customWidth="1"/>
    <col min="12813" max="12813" width="9.33203125" style="4" bestFit="1" customWidth="1"/>
    <col min="12814" max="13054" width="9.109375" style="4"/>
    <col min="13055" max="13055" width="3.33203125" style="4" customWidth="1"/>
    <col min="13056" max="13056" width="31.88671875" style="4" customWidth="1"/>
    <col min="13057" max="13057" width="10" style="4" bestFit="1" customWidth="1"/>
    <col min="13058" max="13058" width="2.88671875" style="4" customWidth="1"/>
    <col min="13059" max="13068" width="11.44140625" style="4" customWidth="1"/>
    <col min="13069" max="13069" width="9.33203125" style="4" bestFit="1" customWidth="1"/>
    <col min="13070" max="13310" width="9.109375" style="4"/>
    <col min="13311" max="13311" width="3.33203125" style="4" customWidth="1"/>
    <col min="13312" max="13312" width="31.88671875" style="4" customWidth="1"/>
    <col min="13313" max="13313" width="10" style="4" bestFit="1" customWidth="1"/>
    <col min="13314" max="13314" width="2.88671875" style="4" customWidth="1"/>
    <col min="13315" max="13324" width="11.44140625" style="4" customWidth="1"/>
    <col min="13325" max="13325" width="9.33203125" style="4" bestFit="1" customWidth="1"/>
    <col min="13326" max="13566" width="9.109375" style="4"/>
    <col min="13567" max="13567" width="3.33203125" style="4" customWidth="1"/>
    <col min="13568" max="13568" width="31.88671875" style="4" customWidth="1"/>
    <col min="13569" max="13569" width="10" style="4" bestFit="1" customWidth="1"/>
    <col min="13570" max="13570" width="2.88671875" style="4" customWidth="1"/>
    <col min="13571" max="13580" width="11.44140625" style="4" customWidth="1"/>
    <col min="13581" max="13581" width="9.33203125" style="4" bestFit="1" customWidth="1"/>
    <col min="13582" max="13822" width="9.109375" style="4"/>
    <col min="13823" max="13823" width="3.33203125" style="4" customWidth="1"/>
    <col min="13824" max="13824" width="31.88671875" style="4" customWidth="1"/>
    <col min="13825" max="13825" width="10" style="4" bestFit="1" customWidth="1"/>
    <col min="13826" max="13826" width="2.88671875" style="4" customWidth="1"/>
    <col min="13827" max="13836" width="11.44140625" style="4" customWidth="1"/>
    <col min="13837" max="13837" width="9.33203125" style="4" bestFit="1" customWidth="1"/>
    <col min="13838" max="14078" width="9.109375" style="4"/>
    <col min="14079" max="14079" width="3.33203125" style="4" customWidth="1"/>
    <col min="14080" max="14080" width="31.88671875" style="4" customWidth="1"/>
    <col min="14081" max="14081" width="10" style="4" bestFit="1" customWidth="1"/>
    <col min="14082" max="14082" width="2.88671875" style="4" customWidth="1"/>
    <col min="14083" max="14092" width="11.44140625" style="4" customWidth="1"/>
    <col min="14093" max="14093" width="9.33203125" style="4" bestFit="1" customWidth="1"/>
    <col min="14094" max="14334" width="9.109375" style="4"/>
    <col min="14335" max="14335" width="3.33203125" style="4" customWidth="1"/>
    <col min="14336" max="14336" width="31.88671875" style="4" customWidth="1"/>
    <col min="14337" max="14337" width="10" style="4" bestFit="1" customWidth="1"/>
    <col min="14338" max="14338" width="2.88671875" style="4" customWidth="1"/>
    <col min="14339" max="14348" width="11.44140625" style="4" customWidth="1"/>
    <col min="14349" max="14349" width="9.33203125" style="4" bestFit="1" customWidth="1"/>
    <col min="14350" max="14590" width="9.109375" style="4"/>
    <col min="14591" max="14591" width="3.33203125" style="4" customWidth="1"/>
    <col min="14592" max="14592" width="31.88671875" style="4" customWidth="1"/>
    <col min="14593" max="14593" width="10" style="4" bestFit="1" customWidth="1"/>
    <col min="14594" max="14594" width="2.88671875" style="4" customWidth="1"/>
    <col min="14595" max="14604" width="11.44140625" style="4" customWidth="1"/>
    <col min="14605" max="14605" width="9.33203125" style="4" bestFit="1" customWidth="1"/>
    <col min="14606" max="14846" width="9.109375" style="4"/>
    <col min="14847" max="14847" width="3.33203125" style="4" customWidth="1"/>
    <col min="14848" max="14848" width="31.88671875" style="4" customWidth="1"/>
    <col min="14849" max="14849" width="10" style="4" bestFit="1" customWidth="1"/>
    <col min="14850" max="14850" width="2.88671875" style="4" customWidth="1"/>
    <col min="14851" max="14860" width="11.44140625" style="4" customWidth="1"/>
    <col min="14861" max="14861" width="9.33203125" style="4" bestFit="1" customWidth="1"/>
    <col min="14862" max="15102" width="9.109375" style="4"/>
    <col min="15103" max="15103" width="3.33203125" style="4" customWidth="1"/>
    <col min="15104" max="15104" width="31.88671875" style="4" customWidth="1"/>
    <col min="15105" max="15105" width="10" style="4" bestFit="1" customWidth="1"/>
    <col min="15106" max="15106" width="2.88671875" style="4" customWidth="1"/>
    <col min="15107" max="15116" width="11.44140625" style="4" customWidth="1"/>
    <col min="15117" max="15117" width="9.33203125" style="4" bestFit="1" customWidth="1"/>
    <col min="15118" max="15358" width="9.109375" style="4"/>
    <col min="15359" max="15359" width="3.33203125" style="4" customWidth="1"/>
    <col min="15360" max="15360" width="31.88671875" style="4" customWidth="1"/>
    <col min="15361" max="15361" width="10" style="4" bestFit="1" customWidth="1"/>
    <col min="15362" max="15362" width="2.88671875" style="4" customWidth="1"/>
    <col min="15363" max="15372" width="11.44140625" style="4" customWidth="1"/>
    <col min="15373" max="15373" width="9.33203125" style="4" bestFit="1" customWidth="1"/>
    <col min="15374" max="15614" width="9.109375" style="4"/>
    <col min="15615" max="15615" width="3.33203125" style="4" customWidth="1"/>
    <col min="15616" max="15616" width="31.88671875" style="4" customWidth="1"/>
    <col min="15617" max="15617" width="10" style="4" bestFit="1" customWidth="1"/>
    <col min="15618" max="15618" width="2.88671875" style="4" customWidth="1"/>
    <col min="15619" max="15628" width="11.44140625" style="4" customWidth="1"/>
    <col min="15629" max="15629" width="9.33203125" style="4" bestFit="1" customWidth="1"/>
    <col min="15630" max="15870" width="9.109375" style="4"/>
    <col min="15871" max="15871" width="3.33203125" style="4" customWidth="1"/>
    <col min="15872" max="15872" width="31.88671875" style="4" customWidth="1"/>
    <col min="15873" max="15873" width="10" style="4" bestFit="1" customWidth="1"/>
    <col min="15874" max="15874" width="2.88671875" style="4" customWidth="1"/>
    <col min="15875" max="15884" width="11.44140625" style="4" customWidth="1"/>
    <col min="15885" max="15885" width="9.33203125" style="4" bestFit="1" customWidth="1"/>
    <col min="15886" max="16126" width="9.109375" style="4"/>
    <col min="16127" max="16127" width="3.33203125" style="4" customWidth="1"/>
    <col min="16128" max="16128" width="31.88671875" style="4" customWidth="1"/>
    <col min="16129" max="16129" width="10" style="4" bestFit="1" customWidth="1"/>
    <col min="16130" max="16130" width="2.88671875" style="4" customWidth="1"/>
    <col min="16131" max="16140" width="11.44140625" style="4" customWidth="1"/>
    <col min="16141" max="16141" width="9.33203125" style="4" bestFit="1" customWidth="1"/>
    <col min="16142" max="16384" width="9.109375" style="4"/>
  </cols>
  <sheetData>
    <row r="1" spans="1:13" x14ac:dyDescent="0.3">
      <c r="A1" s="43" t="s">
        <v>0</v>
      </c>
      <c r="E1" s="53" t="s">
        <v>142</v>
      </c>
      <c r="F1" s="53"/>
      <c r="G1" s="53"/>
      <c r="H1" s="54" t="s">
        <v>143</v>
      </c>
      <c r="I1" s="55"/>
      <c r="J1" s="55"/>
      <c r="K1" s="55"/>
      <c r="L1" s="55"/>
    </row>
    <row r="2" spans="1:13" s="2" customFormat="1" x14ac:dyDescent="0.3">
      <c r="A2" s="1"/>
      <c r="C2" s="35" t="s">
        <v>48</v>
      </c>
      <c r="D2" s="35"/>
      <c r="E2" s="70">
        <f>PnL!E2</f>
        <v>2016</v>
      </c>
      <c r="F2" s="70">
        <f>PnL!F2</f>
        <v>2017</v>
      </c>
      <c r="G2" s="70">
        <f>PnL!G2</f>
        <v>2018</v>
      </c>
      <c r="H2" s="70">
        <f>PnL!H2</f>
        <v>2019</v>
      </c>
      <c r="I2" s="70">
        <f>PnL!I2</f>
        <v>2020</v>
      </c>
      <c r="J2" s="70">
        <f>PnL!J2</f>
        <v>2021</v>
      </c>
      <c r="K2" s="70">
        <f>PnL!K2</f>
        <v>2022</v>
      </c>
      <c r="L2" s="70">
        <f>PnL!L2</f>
        <v>2023</v>
      </c>
    </row>
    <row r="4" spans="1:13" x14ac:dyDescent="0.3">
      <c r="B4" s="5" t="s">
        <v>99</v>
      </c>
      <c r="C4" s="5" t="s">
        <v>100</v>
      </c>
      <c r="D4" s="5"/>
    </row>
    <row r="5" spans="1:13" x14ac:dyDescent="0.3">
      <c r="B5" s="5" t="s">
        <v>101</v>
      </c>
      <c r="C5" s="4" t="s">
        <v>65</v>
      </c>
      <c r="E5" s="72">
        <f>Assumptions!E44</f>
        <v>10</v>
      </c>
      <c r="F5" s="72">
        <f>Assumptions!F44</f>
        <v>10</v>
      </c>
      <c r="G5" s="72">
        <f>Assumptions!G44</f>
        <v>10</v>
      </c>
      <c r="H5" s="72">
        <f>Assumptions!H44</f>
        <v>10</v>
      </c>
      <c r="I5" s="72">
        <f>Assumptions!I44</f>
        <v>10</v>
      </c>
      <c r="J5" s="72">
        <f>Assumptions!J44</f>
        <v>10</v>
      </c>
      <c r="K5" s="72">
        <f>Assumptions!K44</f>
        <v>10</v>
      </c>
      <c r="L5" s="72">
        <f>Assumptions!L44</f>
        <v>10</v>
      </c>
    </row>
    <row r="6" spans="1:13" x14ac:dyDescent="0.3">
      <c r="B6" s="5" t="s">
        <v>66</v>
      </c>
      <c r="C6" s="17" t="s">
        <v>102</v>
      </c>
      <c r="E6" s="72">
        <f>Assumptions!E45</f>
        <v>0</v>
      </c>
      <c r="F6" s="72">
        <f>Assumptions!F45</f>
        <v>0</v>
      </c>
      <c r="G6" s="72">
        <f>Assumptions!G45</f>
        <v>0</v>
      </c>
      <c r="H6" s="72">
        <f>Assumptions!H45</f>
        <v>0</v>
      </c>
      <c r="I6" s="72">
        <f>Assumptions!I45</f>
        <v>0</v>
      </c>
      <c r="J6" s="72">
        <f>Assumptions!J45</f>
        <v>0</v>
      </c>
      <c r="K6" s="72">
        <f>Assumptions!K45</f>
        <v>0</v>
      </c>
      <c r="L6" s="72">
        <f>Assumptions!L45</f>
        <v>0</v>
      </c>
    </row>
    <row r="7" spans="1:13" x14ac:dyDescent="0.3">
      <c r="E7"/>
      <c r="F7"/>
      <c r="G7"/>
      <c r="H7"/>
      <c r="I7"/>
      <c r="J7"/>
      <c r="K7"/>
      <c r="L7"/>
    </row>
    <row r="8" spans="1:13" x14ac:dyDescent="0.3">
      <c r="B8" s="5" t="s">
        <v>63</v>
      </c>
      <c r="C8" s="17" t="s">
        <v>102</v>
      </c>
      <c r="E8" s="72">
        <f>Assumptions!E43/10^6</f>
        <v>200</v>
      </c>
      <c r="F8" s="72">
        <v>0</v>
      </c>
      <c r="G8" s="72">
        <f>Assumptions!G43/10^6</f>
        <v>200</v>
      </c>
      <c r="H8" s="72">
        <v>0</v>
      </c>
      <c r="I8" s="72">
        <f>Assumptions!I43/10^6</f>
        <v>0</v>
      </c>
      <c r="J8" s="72">
        <v>0</v>
      </c>
      <c r="K8" s="72">
        <v>0</v>
      </c>
      <c r="L8" s="72">
        <f>Assumptions!L43/10^6</f>
        <v>0</v>
      </c>
      <c r="M8" s="7"/>
    </row>
    <row r="10" spans="1:13" x14ac:dyDescent="0.3">
      <c r="A10" s="5" t="s">
        <v>103</v>
      </c>
    </row>
    <row r="12" spans="1:13" x14ac:dyDescent="0.3">
      <c r="B12" s="74">
        <f>E2</f>
        <v>2016</v>
      </c>
      <c r="C12" s="110" cm="1">
        <f t="array" ref="C12:C19">TRANSPOSE(E8:L8)</f>
        <v>200</v>
      </c>
      <c r="E12" s="111">
        <f>IF(E$2&gt;=$B12,$C12/$E$5,"")</f>
        <v>20</v>
      </c>
      <c r="F12" s="111">
        <f t="shared" ref="F12:L19" si="0">IF(F$2&gt;=$B12,$C12/$E$5,"")</f>
        <v>20</v>
      </c>
      <c r="G12" s="111">
        <f t="shared" si="0"/>
        <v>20</v>
      </c>
      <c r="H12" s="111">
        <f t="shared" si="0"/>
        <v>20</v>
      </c>
      <c r="I12" s="111">
        <f t="shared" si="0"/>
        <v>20</v>
      </c>
      <c r="J12" s="111">
        <f t="shared" si="0"/>
        <v>20</v>
      </c>
      <c r="K12" s="111">
        <f t="shared" si="0"/>
        <v>20</v>
      </c>
      <c r="L12" s="111">
        <f t="shared" si="0"/>
        <v>20</v>
      </c>
    </row>
    <row r="13" spans="1:13" x14ac:dyDescent="0.3">
      <c r="B13" s="74">
        <f>B12+1</f>
        <v>2017</v>
      </c>
      <c r="C13" s="73">
        <v>0</v>
      </c>
      <c r="E13" s="111" t="str">
        <f t="shared" ref="E13:E19" si="1">IF(E$2&gt;=$B13,$C13/$E$5,"")</f>
        <v/>
      </c>
      <c r="F13" s="111">
        <f t="shared" si="0"/>
        <v>0</v>
      </c>
      <c r="G13" s="111">
        <f t="shared" si="0"/>
        <v>0</v>
      </c>
      <c r="H13" s="111">
        <f t="shared" si="0"/>
        <v>0</v>
      </c>
      <c r="I13" s="111">
        <f t="shared" si="0"/>
        <v>0</v>
      </c>
      <c r="J13" s="111">
        <f t="shared" si="0"/>
        <v>0</v>
      </c>
      <c r="K13" s="111">
        <f t="shared" si="0"/>
        <v>0</v>
      </c>
      <c r="L13" s="111">
        <f t="shared" si="0"/>
        <v>0</v>
      </c>
    </row>
    <row r="14" spans="1:13" x14ac:dyDescent="0.3">
      <c r="B14" s="74">
        <f t="shared" ref="B14:B18" si="2">B13+1</f>
        <v>2018</v>
      </c>
      <c r="C14" s="73">
        <v>200</v>
      </c>
      <c r="E14" s="111" t="str">
        <f t="shared" si="1"/>
        <v/>
      </c>
      <c r="F14" s="111" t="str">
        <f t="shared" si="0"/>
        <v/>
      </c>
      <c r="G14" s="111">
        <f t="shared" si="0"/>
        <v>20</v>
      </c>
      <c r="H14" s="111">
        <f t="shared" si="0"/>
        <v>20</v>
      </c>
      <c r="I14" s="111">
        <f t="shared" si="0"/>
        <v>20</v>
      </c>
      <c r="J14" s="111">
        <f t="shared" si="0"/>
        <v>20</v>
      </c>
      <c r="K14" s="111">
        <f t="shared" si="0"/>
        <v>20</v>
      </c>
      <c r="L14" s="111">
        <f t="shared" si="0"/>
        <v>20</v>
      </c>
    </row>
    <row r="15" spans="1:13" x14ac:dyDescent="0.3">
      <c r="B15" s="74">
        <f t="shared" si="2"/>
        <v>2019</v>
      </c>
      <c r="C15" s="73">
        <v>0</v>
      </c>
      <c r="E15" s="111" t="str">
        <f t="shared" si="1"/>
        <v/>
      </c>
      <c r="F15" s="111" t="str">
        <f t="shared" si="0"/>
        <v/>
      </c>
      <c r="G15" s="111" t="str">
        <f t="shared" si="0"/>
        <v/>
      </c>
      <c r="H15" s="111">
        <f t="shared" si="0"/>
        <v>0</v>
      </c>
      <c r="I15" s="111">
        <f t="shared" si="0"/>
        <v>0</v>
      </c>
      <c r="J15" s="111">
        <f t="shared" si="0"/>
        <v>0</v>
      </c>
      <c r="K15" s="111">
        <f t="shared" si="0"/>
        <v>0</v>
      </c>
      <c r="L15" s="111">
        <f t="shared" si="0"/>
        <v>0</v>
      </c>
    </row>
    <row r="16" spans="1:13" x14ac:dyDescent="0.3">
      <c r="B16" s="74">
        <f t="shared" si="2"/>
        <v>2020</v>
      </c>
      <c r="C16" s="73">
        <v>0</v>
      </c>
      <c r="E16" s="111" t="str">
        <f t="shared" si="1"/>
        <v/>
      </c>
      <c r="F16" s="111" t="str">
        <f t="shared" si="0"/>
        <v/>
      </c>
      <c r="G16" s="111" t="str">
        <f t="shared" si="0"/>
        <v/>
      </c>
      <c r="H16" s="111" t="str">
        <f t="shared" si="0"/>
        <v/>
      </c>
      <c r="I16" s="111">
        <f t="shared" si="0"/>
        <v>0</v>
      </c>
      <c r="J16" s="111">
        <f t="shared" si="0"/>
        <v>0</v>
      </c>
      <c r="K16" s="111">
        <f t="shared" si="0"/>
        <v>0</v>
      </c>
      <c r="L16" s="111">
        <f t="shared" si="0"/>
        <v>0</v>
      </c>
    </row>
    <row r="17" spans="1:12" x14ac:dyDescent="0.3">
      <c r="B17" s="74">
        <f t="shared" si="2"/>
        <v>2021</v>
      </c>
      <c r="C17" s="73">
        <v>0</v>
      </c>
      <c r="E17" s="111" t="str">
        <f t="shared" si="1"/>
        <v/>
      </c>
      <c r="F17" s="111" t="str">
        <f t="shared" si="0"/>
        <v/>
      </c>
      <c r="G17" s="111" t="str">
        <f t="shared" si="0"/>
        <v/>
      </c>
      <c r="H17" s="111" t="str">
        <f t="shared" si="0"/>
        <v/>
      </c>
      <c r="I17" s="111" t="str">
        <f t="shared" si="0"/>
        <v/>
      </c>
      <c r="J17" s="111">
        <f t="shared" si="0"/>
        <v>0</v>
      </c>
      <c r="K17" s="111">
        <f t="shared" si="0"/>
        <v>0</v>
      </c>
      <c r="L17" s="111">
        <f t="shared" si="0"/>
        <v>0</v>
      </c>
    </row>
    <row r="18" spans="1:12" x14ac:dyDescent="0.3">
      <c r="B18" s="74">
        <f t="shared" si="2"/>
        <v>2022</v>
      </c>
      <c r="C18" s="73">
        <v>0</v>
      </c>
      <c r="E18" s="111" t="str">
        <f t="shared" si="1"/>
        <v/>
      </c>
      <c r="F18" s="111" t="str">
        <f t="shared" si="0"/>
        <v/>
      </c>
      <c r="G18" s="111" t="str">
        <f t="shared" si="0"/>
        <v/>
      </c>
      <c r="H18" s="111" t="str">
        <f t="shared" si="0"/>
        <v/>
      </c>
      <c r="I18" s="111" t="str">
        <f t="shared" si="0"/>
        <v/>
      </c>
      <c r="J18" s="111" t="str">
        <f t="shared" si="0"/>
        <v/>
      </c>
      <c r="K18" s="111">
        <f t="shared" si="0"/>
        <v>0</v>
      </c>
      <c r="L18" s="111">
        <f t="shared" si="0"/>
        <v>0</v>
      </c>
    </row>
    <row r="19" spans="1:12" x14ac:dyDescent="0.3">
      <c r="B19" s="75">
        <f>B18+1</f>
        <v>2023</v>
      </c>
      <c r="C19" s="59">
        <v>0</v>
      </c>
      <c r="D19" s="2"/>
      <c r="E19" s="111" t="str">
        <f t="shared" si="1"/>
        <v/>
      </c>
      <c r="F19" s="111" t="str">
        <f t="shared" si="0"/>
        <v/>
      </c>
      <c r="G19" s="111" t="str">
        <f t="shared" si="0"/>
        <v/>
      </c>
      <c r="H19" s="111" t="str">
        <f t="shared" si="0"/>
        <v/>
      </c>
      <c r="I19" s="111" t="str">
        <f t="shared" si="0"/>
        <v/>
      </c>
      <c r="J19" s="111" t="str">
        <f t="shared" si="0"/>
        <v/>
      </c>
      <c r="K19" s="111" t="str">
        <f t="shared" si="0"/>
        <v/>
      </c>
      <c r="L19" s="111">
        <f t="shared" si="0"/>
        <v>0</v>
      </c>
    </row>
    <row r="20" spans="1:12" s="5" customFormat="1" ht="13.2" x14ac:dyDescent="0.25">
      <c r="B20" s="5" t="s">
        <v>104</v>
      </c>
      <c r="E20" s="77">
        <f>SUM(E12:E19)</f>
        <v>20</v>
      </c>
      <c r="F20" s="77">
        <f t="shared" ref="F20:L20" si="3">SUM(F12:F19)</f>
        <v>20</v>
      </c>
      <c r="G20" s="77">
        <f t="shared" si="3"/>
        <v>40</v>
      </c>
      <c r="H20" s="77">
        <f t="shared" si="3"/>
        <v>40</v>
      </c>
      <c r="I20" s="77">
        <f t="shared" si="3"/>
        <v>40</v>
      </c>
      <c r="J20" s="77">
        <f t="shared" si="3"/>
        <v>40</v>
      </c>
      <c r="K20" s="77">
        <f t="shared" si="3"/>
        <v>40</v>
      </c>
      <c r="L20" s="77">
        <f t="shared" si="3"/>
        <v>40</v>
      </c>
    </row>
    <row r="22" spans="1:12" x14ac:dyDescent="0.3">
      <c r="A22" s="5" t="s">
        <v>37</v>
      </c>
    </row>
    <row r="23" spans="1:12" x14ac:dyDescent="0.3">
      <c r="B23" s="4" t="s">
        <v>105</v>
      </c>
      <c r="E23" s="6">
        <v>0</v>
      </c>
      <c r="F23" s="6">
        <f>E26</f>
        <v>200</v>
      </c>
      <c r="G23" s="6">
        <f t="shared" ref="G23:L23" si="4">F26</f>
        <v>200</v>
      </c>
      <c r="H23" s="6">
        <f t="shared" si="4"/>
        <v>400</v>
      </c>
      <c r="I23" s="6">
        <f t="shared" si="4"/>
        <v>400</v>
      </c>
      <c r="J23" s="6">
        <f t="shared" si="4"/>
        <v>400</v>
      </c>
      <c r="K23" s="6">
        <f t="shared" si="4"/>
        <v>400</v>
      </c>
      <c r="L23" s="6">
        <f t="shared" si="4"/>
        <v>400</v>
      </c>
    </row>
    <row r="24" spans="1:12" x14ac:dyDescent="0.3">
      <c r="B24" s="4" t="s">
        <v>106</v>
      </c>
      <c r="E24" s="71">
        <f>E8</f>
        <v>200</v>
      </c>
      <c r="F24" s="71">
        <f t="shared" ref="F24:L24" si="5">F8</f>
        <v>0</v>
      </c>
      <c r="G24" s="71">
        <f t="shared" si="5"/>
        <v>200</v>
      </c>
      <c r="H24" s="71">
        <f t="shared" si="5"/>
        <v>0</v>
      </c>
      <c r="I24" s="71">
        <f t="shared" si="5"/>
        <v>0</v>
      </c>
      <c r="J24" s="71">
        <f t="shared" si="5"/>
        <v>0</v>
      </c>
      <c r="K24" s="71">
        <f t="shared" si="5"/>
        <v>0</v>
      </c>
      <c r="L24" s="71">
        <f t="shared" si="5"/>
        <v>0</v>
      </c>
    </row>
    <row r="25" spans="1:12" x14ac:dyDescent="0.3">
      <c r="B25" s="2" t="s">
        <v>107</v>
      </c>
      <c r="C25" s="2"/>
      <c r="D25" s="2"/>
      <c r="E25" s="67">
        <f>E6</f>
        <v>0</v>
      </c>
      <c r="F25" s="67">
        <f t="shared" ref="F25:L25" si="6">F6</f>
        <v>0</v>
      </c>
      <c r="G25" s="67">
        <f t="shared" si="6"/>
        <v>0</v>
      </c>
      <c r="H25" s="67">
        <f t="shared" si="6"/>
        <v>0</v>
      </c>
      <c r="I25" s="67">
        <f t="shared" si="6"/>
        <v>0</v>
      </c>
      <c r="J25" s="67">
        <f t="shared" si="6"/>
        <v>0</v>
      </c>
      <c r="K25" s="67">
        <f t="shared" si="6"/>
        <v>0</v>
      </c>
      <c r="L25" s="67">
        <f t="shared" si="6"/>
        <v>0</v>
      </c>
    </row>
    <row r="26" spans="1:12" x14ac:dyDescent="0.3">
      <c r="B26" s="5" t="s">
        <v>108</v>
      </c>
      <c r="C26" s="5"/>
      <c r="D26" s="5"/>
      <c r="E26" s="45">
        <f>E23+E24-E25</f>
        <v>200</v>
      </c>
      <c r="F26" s="45">
        <f t="shared" ref="F26:L26" si="7">F23+F24-F25</f>
        <v>200</v>
      </c>
      <c r="G26" s="45">
        <f t="shared" si="7"/>
        <v>400</v>
      </c>
      <c r="H26" s="45">
        <f t="shared" si="7"/>
        <v>400</v>
      </c>
      <c r="I26" s="45">
        <f t="shared" si="7"/>
        <v>400</v>
      </c>
      <c r="J26" s="45">
        <f t="shared" si="7"/>
        <v>400</v>
      </c>
      <c r="K26" s="45">
        <f t="shared" si="7"/>
        <v>400</v>
      </c>
      <c r="L26" s="45">
        <f t="shared" si="7"/>
        <v>400</v>
      </c>
    </row>
    <row r="28" spans="1:12" x14ac:dyDescent="0.3">
      <c r="A28" s="5" t="s">
        <v>109</v>
      </c>
    </row>
    <row r="29" spans="1:12" x14ac:dyDescent="0.3">
      <c r="B29" s="4" t="s">
        <v>105</v>
      </c>
      <c r="E29" s="6"/>
      <c r="F29" s="71">
        <f>E31</f>
        <v>20</v>
      </c>
      <c r="G29" s="71">
        <f t="shared" ref="G29:L29" si="8">F31</f>
        <v>40</v>
      </c>
      <c r="H29" s="71">
        <f t="shared" si="8"/>
        <v>80</v>
      </c>
      <c r="I29" s="71">
        <f t="shared" si="8"/>
        <v>120</v>
      </c>
      <c r="J29" s="71">
        <f t="shared" si="8"/>
        <v>160</v>
      </c>
      <c r="K29" s="71">
        <f t="shared" si="8"/>
        <v>200</v>
      </c>
      <c r="L29" s="71">
        <f t="shared" si="8"/>
        <v>240</v>
      </c>
    </row>
    <row r="30" spans="1:12" x14ac:dyDescent="0.3">
      <c r="B30" s="2" t="s">
        <v>110</v>
      </c>
      <c r="C30" s="2"/>
      <c r="D30" s="2"/>
      <c r="E30" s="67">
        <f>E20</f>
        <v>20</v>
      </c>
      <c r="F30" s="67">
        <f>F20</f>
        <v>20</v>
      </c>
      <c r="G30" s="67">
        <f t="shared" ref="G30:L30" si="9">G20</f>
        <v>40</v>
      </c>
      <c r="H30" s="67">
        <f t="shared" si="9"/>
        <v>40</v>
      </c>
      <c r="I30" s="67">
        <f t="shared" si="9"/>
        <v>40</v>
      </c>
      <c r="J30" s="67">
        <f t="shared" si="9"/>
        <v>40</v>
      </c>
      <c r="K30" s="67">
        <f t="shared" si="9"/>
        <v>40</v>
      </c>
      <c r="L30" s="67">
        <f t="shared" si="9"/>
        <v>40</v>
      </c>
    </row>
    <row r="31" spans="1:12" x14ac:dyDescent="0.3">
      <c r="B31" s="5" t="s">
        <v>108</v>
      </c>
      <c r="C31" s="5"/>
      <c r="D31" s="5"/>
      <c r="E31" s="45">
        <f>E29+E30</f>
        <v>20</v>
      </c>
      <c r="F31" s="45">
        <f t="shared" ref="F31:L31" si="10">F29+F30</f>
        <v>40</v>
      </c>
      <c r="G31" s="45">
        <f t="shared" si="10"/>
        <v>80</v>
      </c>
      <c r="H31" s="45">
        <f t="shared" si="10"/>
        <v>120</v>
      </c>
      <c r="I31" s="45">
        <f t="shared" si="10"/>
        <v>160</v>
      </c>
      <c r="J31" s="45">
        <f t="shared" si="10"/>
        <v>200</v>
      </c>
      <c r="K31" s="45">
        <f t="shared" si="10"/>
        <v>240</v>
      </c>
      <c r="L31" s="45">
        <f t="shared" si="10"/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27" sqref="G27"/>
    </sheetView>
  </sheetViews>
  <sheetFormatPr defaultRowHeight="14.4" x14ac:dyDescent="0.3"/>
  <cols>
    <col min="1" max="1" width="3.44140625" style="4" customWidth="1"/>
    <col min="2" max="2" width="27.33203125" style="4" customWidth="1"/>
    <col min="3" max="3" width="9.109375" style="4"/>
    <col min="4" max="4" width="3" style="4" customWidth="1"/>
    <col min="5" max="12" width="11.5546875" style="4" customWidth="1"/>
    <col min="13" max="13" width="8.6640625" style="4" customWidth="1"/>
    <col min="14" max="254" width="9.109375" style="4"/>
    <col min="255" max="255" width="3.44140625" style="4" customWidth="1"/>
    <col min="256" max="256" width="27.33203125" style="4" customWidth="1"/>
    <col min="257" max="257" width="9.109375" style="4"/>
    <col min="258" max="258" width="3" style="4" customWidth="1"/>
    <col min="259" max="268" width="11.5546875" style="4" customWidth="1"/>
    <col min="269" max="510" width="9.109375" style="4"/>
    <col min="511" max="511" width="3.44140625" style="4" customWidth="1"/>
    <col min="512" max="512" width="27.33203125" style="4" customWidth="1"/>
    <col min="513" max="513" width="9.109375" style="4"/>
    <col min="514" max="514" width="3" style="4" customWidth="1"/>
    <col min="515" max="524" width="11.5546875" style="4" customWidth="1"/>
    <col min="525" max="766" width="9.109375" style="4"/>
    <col min="767" max="767" width="3.44140625" style="4" customWidth="1"/>
    <col min="768" max="768" width="27.33203125" style="4" customWidth="1"/>
    <col min="769" max="769" width="9.109375" style="4"/>
    <col min="770" max="770" width="3" style="4" customWidth="1"/>
    <col min="771" max="780" width="11.5546875" style="4" customWidth="1"/>
    <col min="781" max="1022" width="9.109375" style="4"/>
    <col min="1023" max="1023" width="3.44140625" style="4" customWidth="1"/>
    <col min="1024" max="1024" width="27.33203125" style="4" customWidth="1"/>
    <col min="1025" max="1025" width="9.109375" style="4"/>
    <col min="1026" max="1026" width="3" style="4" customWidth="1"/>
    <col min="1027" max="1036" width="11.5546875" style="4" customWidth="1"/>
    <col min="1037" max="1278" width="9.109375" style="4"/>
    <col min="1279" max="1279" width="3.44140625" style="4" customWidth="1"/>
    <col min="1280" max="1280" width="27.33203125" style="4" customWidth="1"/>
    <col min="1281" max="1281" width="9.109375" style="4"/>
    <col min="1282" max="1282" width="3" style="4" customWidth="1"/>
    <col min="1283" max="1292" width="11.5546875" style="4" customWidth="1"/>
    <col min="1293" max="1534" width="9.109375" style="4"/>
    <col min="1535" max="1535" width="3.44140625" style="4" customWidth="1"/>
    <col min="1536" max="1536" width="27.33203125" style="4" customWidth="1"/>
    <col min="1537" max="1537" width="9.109375" style="4"/>
    <col min="1538" max="1538" width="3" style="4" customWidth="1"/>
    <col min="1539" max="1548" width="11.5546875" style="4" customWidth="1"/>
    <col min="1549" max="1790" width="9.109375" style="4"/>
    <col min="1791" max="1791" width="3.44140625" style="4" customWidth="1"/>
    <col min="1792" max="1792" width="27.33203125" style="4" customWidth="1"/>
    <col min="1793" max="1793" width="9.109375" style="4"/>
    <col min="1794" max="1794" width="3" style="4" customWidth="1"/>
    <col min="1795" max="1804" width="11.5546875" style="4" customWidth="1"/>
    <col min="1805" max="2046" width="9.109375" style="4"/>
    <col min="2047" max="2047" width="3.44140625" style="4" customWidth="1"/>
    <col min="2048" max="2048" width="27.33203125" style="4" customWidth="1"/>
    <col min="2049" max="2049" width="9.109375" style="4"/>
    <col min="2050" max="2050" width="3" style="4" customWidth="1"/>
    <col min="2051" max="2060" width="11.5546875" style="4" customWidth="1"/>
    <col min="2061" max="2302" width="9.109375" style="4"/>
    <col min="2303" max="2303" width="3.44140625" style="4" customWidth="1"/>
    <col min="2304" max="2304" width="27.33203125" style="4" customWidth="1"/>
    <col min="2305" max="2305" width="9.109375" style="4"/>
    <col min="2306" max="2306" width="3" style="4" customWidth="1"/>
    <col min="2307" max="2316" width="11.5546875" style="4" customWidth="1"/>
    <col min="2317" max="2558" width="9.109375" style="4"/>
    <col min="2559" max="2559" width="3.44140625" style="4" customWidth="1"/>
    <col min="2560" max="2560" width="27.33203125" style="4" customWidth="1"/>
    <col min="2561" max="2561" width="9.109375" style="4"/>
    <col min="2562" max="2562" width="3" style="4" customWidth="1"/>
    <col min="2563" max="2572" width="11.5546875" style="4" customWidth="1"/>
    <col min="2573" max="2814" width="9.109375" style="4"/>
    <col min="2815" max="2815" width="3.44140625" style="4" customWidth="1"/>
    <col min="2816" max="2816" width="27.33203125" style="4" customWidth="1"/>
    <col min="2817" max="2817" width="9.109375" style="4"/>
    <col min="2818" max="2818" width="3" style="4" customWidth="1"/>
    <col min="2819" max="2828" width="11.5546875" style="4" customWidth="1"/>
    <col min="2829" max="3070" width="9.109375" style="4"/>
    <col min="3071" max="3071" width="3.44140625" style="4" customWidth="1"/>
    <col min="3072" max="3072" width="27.33203125" style="4" customWidth="1"/>
    <col min="3073" max="3073" width="9.109375" style="4"/>
    <col min="3074" max="3074" width="3" style="4" customWidth="1"/>
    <col min="3075" max="3084" width="11.5546875" style="4" customWidth="1"/>
    <col min="3085" max="3326" width="9.109375" style="4"/>
    <col min="3327" max="3327" width="3.44140625" style="4" customWidth="1"/>
    <col min="3328" max="3328" width="27.33203125" style="4" customWidth="1"/>
    <col min="3329" max="3329" width="9.109375" style="4"/>
    <col min="3330" max="3330" width="3" style="4" customWidth="1"/>
    <col min="3331" max="3340" width="11.5546875" style="4" customWidth="1"/>
    <col min="3341" max="3582" width="9.109375" style="4"/>
    <col min="3583" max="3583" width="3.44140625" style="4" customWidth="1"/>
    <col min="3584" max="3584" width="27.33203125" style="4" customWidth="1"/>
    <col min="3585" max="3585" width="9.109375" style="4"/>
    <col min="3586" max="3586" width="3" style="4" customWidth="1"/>
    <col min="3587" max="3596" width="11.5546875" style="4" customWidth="1"/>
    <col min="3597" max="3838" width="9.109375" style="4"/>
    <col min="3839" max="3839" width="3.44140625" style="4" customWidth="1"/>
    <col min="3840" max="3840" width="27.33203125" style="4" customWidth="1"/>
    <col min="3841" max="3841" width="9.109375" style="4"/>
    <col min="3842" max="3842" width="3" style="4" customWidth="1"/>
    <col min="3843" max="3852" width="11.5546875" style="4" customWidth="1"/>
    <col min="3853" max="4094" width="9.109375" style="4"/>
    <col min="4095" max="4095" width="3.44140625" style="4" customWidth="1"/>
    <col min="4096" max="4096" width="27.33203125" style="4" customWidth="1"/>
    <col min="4097" max="4097" width="9.109375" style="4"/>
    <col min="4098" max="4098" width="3" style="4" customWidth="1"/>
    <col min="4099" max="4108" width="11.5546875" style="4" customWidth="1"/>
    <col min="4109" max="4350" width="9.109375" style="4"/>
    <col min="4351" max="4351" width="3.44140625" style="4" customWidth="1"/>
    <col min="4352" max="4352" width="27.33203125" style="4" customWidth="1"/>
    <col min="4353" max="4353" width="9.109375" style="4"/>
    <col min="4354" max="4354" width="3" style="4" customWidth="1"/>
    <col min="4355" max="4364" width="11.5546875" style="4" customWidth="1"/>
    <col min="4365" max="4606" width="9.109375" style="4"/>
    <col min="4607" max="4607" width="3.44140625" style="4" customWidth="1"/>
    <col min="4608" max="4608" width="27.33203125" style="4" customWidth="1"/>
    <col min="4609" max="4609" width="9.109375" style="4"/>
    <col min="4610" max="4610" width="3" style="4" customWidth="1"/>
    <col min="4611" max="4620" width="11.5546875" style="4" customWidth="1"/>
    <col min="4621" max="4862" width="9.109375" style="4"/>
    <col min="4863" max="4863" width="3.44140625" style="4" customWidth="1"/>
    <col min="4864" max="4864" width="27.33203125" style="4" customWidth="1"/>
    <col min="4865" max="4865" width="9.109375" style="4"/>
    <col min="4866" max="4866" width="3" style="4" customWidth="1"/>
    <col min="4867" max="4876" width="11.5546875" style="4" customWidth="1"/>
    <col min="4877" max="5118" width="9.109375" style="4"/>
    <col min="5119" max="5119" width="3.44140625" style="4" customWidth="1"/>
    <col min="5120" max="5120" width="27.33203125" style="4" customWidth="1"/>
    <col min="5121" max="5121" width="9.109375" style="4"/>
    <col min="5122" max="5122" width="3" style="4" customWidth="1"/>
    <col min="5123" max="5132" width="11.5546875" style="4" customWidth="1"/>
    <col min="5133" max="5374" width="9.109375" style="4"/>
    <col min="5375" max="5375" width="3.44140625" style="4" customWidth="1"/>
    <col min="5376" max="5376" width="27.33203125" style="4" customWidth="1"/>
    <col min="5377" max="5377" width="9.109375" style="4"/>
    <col min="5378" max="5378" width="3" style="4" customWidth="1"/>
    <col min="5379" max="5388" width="11.5546875" style="4" customWidth="1"/>
    <col min="5389" max="5630" width="9.109375" style="4"/>
    <col min="5631" max="5631" width="3.44140625" style="4" customWidth="1"/>
    <col min="5632" max="5632" width="27.33203125" style="4" customWidth="1"/>
    <col min="5633" max="5633" width="9.109375" style="4"/>
    <col min="5634" max="5634" width="3" style="4" customWidth="1"/>
    <col min="5635" max="5644" width="11.5546875" style="4" customWidth="1"/>
    <col min="5645" max="5886" width="9.109375" style="4"/>
    <col min="5887" max="5887" width="3.44140625" style="4" customWidth="1"/>
    <col min="5888" max="5888" width="27.33203125" style="4" customWidth="1"/>
    <col min="5889" max="5889" width="9.109375" style="4"/>
    <col min="5890" max="5890" width="3" style="4" customWidth="1"/>
    <col min="5891" max="5900" width="11.5546875" style="4" customWidth="1"/>
    <col min="5901" max="6142" width="9.109375" style="4"/>
    <col min="6143" max="6143" width="3.44140625" style="4" customWidth="1"/>
    <col min="6144" max="6144" width="27.33203125" style="4" customWidth="1"/>
    <col min="6145" max="6145" width="9.109375" style="4"/>
    <col min="6146" max="6146" width="3" style="4" customWidth="1"/>
    <col min="6147" max="6156" width="11.5546875" style="4" customWidth="1"/>
    <col min="6157" max="6398" width="9.109375" style="4"/>
    <col min="6399" max="6399" width="3.44140625" style="4" customWidth="1"/>
    <col min="6400" max="6400" width="27.33203125" style="4" customWidth="1"/>
    <col min="6401" max="6401" width="9.109375" style="4"/>
    <col min="6402" max="6402" width="3" style="4" customWidth="1"/>
    <col min="6403" max="6412" width="11.5546875" style="4" customWidth="1"/>
    <col min="6413" max="6654" width="9.109375" style="4"/>
    <col min="6655" max="6655" width="3.44140625" style="4" customWidth="1"/>
    <col min="6656" max="6656" width="27.33203125" style="4" customWidth="1"/>
    <col min="6657" max="6657" width="9.109375" style="4"/>
    <col min="6658" max="6658" width="3" style="4" customWidth="1"/>
    <col min="6659" max="6668" width="11.5546875" style="4" customWidth="1"/>
    <col min="6669" max="6910" width="9.109375" style="4"/>
    <col min="6911" max="6911" width="3.44140625" style="4" customWidth="1"/>
    <col min="6912" max="6912" width="27.33203125" style="4" customWidth="1"/>
    <col min="6913" max="6913" width="9.109375" style="4"/>
    <col min="6914" max="6914" width="3" style="4" customWidth="1"/>
    <col min="6915" max="6924" width="11.5546875" style="4" customWidth="1"/>
    <col min="6925" max="7166" width="9.109375" style="4"/>
    <col min="7167" max="7167" width="3.44140625" style="4" customWidth="1"/>
    <col min="7168" max="7168" width="27.33203125" style="4" customWidth="1"/>
    <col min="7169" max="7169" width="9.109375" style="4"/>
    <col min="7170" max="7170" width="3" style="4" customWidth="1"/>
    <col min="7171" max="7180" width="11.5546875" style="4" customWidth="1"/>
    <col min="7181" max="7422" width="9.109375" style="4"/>
    <col min="7423" max="7423" width="3.44140625" style="4" customWidth="1"/>
    <col min="7424" max="7424" width="27.33203125" style="4" customWidth="1"/>
    <col min="7425" max="7425" width="9.109375" style="4"/>
    <col min="7426" max="7426" width="3" style="4" customWidth="1"/>
    <col min="7427" max="7436" width="11.5546875" style="4" customWidth="1"/>
    <col min="7437" max="7678" width="9.109375" style="4"/>
    <col min="7679" max="7679" width="3.44140625" style="4" customWidth="1"/>
    <col min="7680" max="7680" width="27.33203125" style="4" customWidth="1"/>
    <col min="7681" max="7681" width="9.109375" style="4"/>
    <col min="7682" max="7682" width="3" style="4" customWidth="1"/>
    <col min="7683" max="7692" width="11.5546875" style="4" customWidth="1"/>
    <col min="7693" max="7934" width="9.109375" style="4"/>
    <col min="7935" max="7935" width="3.44140625" style="4" customWidth="1"/>
    <col min="7936" max="7936" width="27.33203125" style="4" customWidth="1"/>
    <col min="7937" max="7937" width="9.109375" style="4"/>
    <col min="7938" max="7938" width="3" style="4" customWidth="1"/>
    <col min="7939" max="7948" width="11.5546875" style="4" customWidth="1"/>
    <col min="7949" max="8190" width="9.109375" style="4"/>
    <col min="8191" max="8191" width="3.44140625" style="4" customWidth="1"/>
    <col min="8192" max="8192" width="27.33203125" style="4" customWidth="1"/>
    <col min="8193" max="8193" width="9.109375" style="4"/>
    <col min="8194" max="8194" width="3" style="4" customWidth="1"/>
    <col min="8195" max="8204" width="11.5546875" style="4" customWidth="1"/>
    <col min="8205" max="8446" width="9.109375" style="4"/>
    <col min="8447" max="8447" width="3.44140625" style="4" customWidth="1"/>
    <col min="8448" max="8448" width="27.33203125" style="4" customWidth="1"/>
    <col min="8449" max="8449" width="9.109375" style="4"/>
    <col min="8450" max="8450" width="3" style="4" customWidth="1"/>
    <col min="8451" max="8460" width="11.5546875" style="4" customWidth="1"/>
    <col min="8461" max="8702" width="9.109375" style="4"/>
    <col min="8703" max="8703" width="3.44140625" style="4" customWidth="1"/>
    <col min="8704" max="8704" width="27.33203125" style="4" customWidth="1"/>
    <col min="8705" max="8705" width="9.109375" style="4"/>
    <col min="8706" max="8706" width="3" style="4" customWidth="1"/>
    <col min="8707" max="8716" width="11.5546875" style="4" customWidth="1"/>
    <col min="8717" max="8958" width="9.109375" style="4"/>
    <col min="8959" max="8959" width="3.44140625" style="4" customWidth="1"/>
    <col min="8960" max="8960" width="27.33203125" style="4" customWidth="1"/>
    <col min="8961" max="8961" width="9.109375" style="4"/>
    <col min="8962" max="8962" width="3" style="4" customWidth="1"/>
    <col min="8963" max="8972" width="11.5546875" style="4" customWidth="1"/>
    <col min="8973" max="9214" width="9.109375" style="4"/>
    <col min="9215" max="9215" width="3.44140625" style="4" customWidth="1"/>
    <col min="9216" max="9216" width="27.33203125" style="4" customWidth="1"/>
    <col min="9217" max="9217" width="9.109375" style="4"/>
    <col min="9218" max="9218" width="3" style="4" customWidth="1"/>
    <col min="9219" max="9228" width="11.5546875" style="4" customWidth="1"/>
    <col min="9229" max="9470" width="9.109375" style="4"/>
    <col min="9471" max="9471" width="3.44140625" style="4" customWidth="1"/>
    <col min="9472" max="9472" width="27.33203125" style="4" customWidth="1"/>
    <col min="9473" max="9473" width="9.109375" style="4"/>
    <col min="9474" max="9474" width="3" style="4" customWidth="1"/>
    <col min="9475" max="9484" width="11.5546875" style="4" customWidth="1"/>
    <col min="9485" max="9726" width="9.109375" style="4"/>
    <col min="9727" max="9727" width="3.44140625" style="4" customWidth="1"/>
    <col min="9728" max="9728" width="27.33203125" style="4" customWidth="1"/>
    <col min="9729" max="9729" width="9.109375" style="4"/>
    <col min="9730" max="9730" width="3" style="4" customWidth="1"/>
    <col min="9731" max="9740" width="11.5546875" style="4" customWidth="1"/>
    <col min="9741" max="9982" width="9.109375" style="4"/>
    <col min="9983" max="9983" width="3.44140625" style="4" customWidth="1"/>
    <col min="9984" max="9984" width="27.33203125" style="4" customWidth="1"/>
    <col min="9985" max="9985" width="9.109375" style="4"/>
    <col min="9986" max="9986" width="3" style="4" customWidth="1"/>
    <col min="9987" max="9996" width="11.5546875" style="4" customWidth="1"/>
    <col min="9997" max="10238" width="9.109375" style="4"/>
    <col min="10239" max="10239" width="3.44140625" style="4" customWidth="1"/>
    <col min="10240" max="10240" width="27.33203125" style="4" customWidth="1"/>
    <col min="10241" max="10241" width="9.109375" style="4"/>
    <col min="10242" max="10242" width="3" style="4" customWidth="1"/>
    <col min="10243" max="10252" width="11.5546875" style="4" customWidth="1"/>
    <col min="10253" max="10494" width="9.109375" style="4"/>
    <col min="10495" max="10495" width="3.44140625" style="4" customWidth="1"/>
    <col min="10496" max="10496" width="27.33203125" style="4" customWidth="1"/>
    <col min="10497" max="10497" width="9.109375" style="4"/>
    <col min="10498" max="10498" width="3" style="4" customWidth="1"/>
    <col min="10499" max="10508" width="11.5546875" style="4" customWidth="1"/>
    <col min="10509" max="10750" width="9.109375" style="4"/>
    <col min="10751" max="10751" width="3.44140625" style="4" customWidth="1"/>
    <col min="10752" max="10752" width="27.33203125" style="4" customWidth="1"/>
    <col min="10753" max="10753" width="9.109375" style="4"/>
    <col min="10754" max="10754" width="3" style="4" customWidth="1"/>
    <col min="10755" max="10764" width="11.5546875" style="4" customWidth="1"/>
    <col min="10765" max="11006" width="9.109375" style="4"/>
    <col min="11007" max="11007" width="3.44140625" style="4" customWidth="1"/>
    <col min="11008" max="11008" width="27.33203125" style="4" customWidth="1"/>
    <col min="11009" max="11009" width="9.109375" style="4"/>
    <col min="11010" max="11010" width="3" style="4" customWidth="1"/>
    <col min="11011" max="11020" width="11.5546875" style="4" customWidth="1"/>
    <col min="11021" max="11262" width="9.109375" style="4"/>
    <col min="11263" max="11263" width="3.44140625" style="4" customWidth="1"/>
    <col min="11264" max="11264" width="27.33203125" style="4" customWidth="1"/>
    <col min="11265" max="11265" width="9.109375" style="4"/>
    <col min="11266" max="11266" width="3" style="4" customWidth="1"/>
    <col min="11267" max="11276" width="11.5546875" style="4" customWidth="1"/>
    <col min="11277" max="11518" width="9.109375" style="4"/>
    <col min="11519" max="11519" width="3.44140625" style="4" customWidth="1"/>
    <col min="11520" max="11520" width="27.33203125" style="4" customWidth="1"/>
    <col min="11521" max="11521" width="9.109375" style="4"/>
    <col min="11522" max="11522" width="3" style="4" customWidth="1"/>
    <col min="11523" max="11532" width="11.5546875" style="4" customWidth="1"/>
    <col min="11533" max="11774" width="9.109375" style="4"/>
    <col min="11775" max="11775" width="3.44140625" style="4" customWidth="1"/>
    <col min="11776" max="11776" width="27.33203125" style="4" customWidth="1"/>
    <col min="11777" max="11777" width="9.109375" style="4"/>
    <col min="11778" max="11778" width="3" style="4" customWidth="1"/>
    <col min="11779" max="11788" width="11.5546875" style="4" customWidth="1"/>
    <col min="11789" max="12030" width="9.109375" style="4"/>
    <col min="12031" max="12031" width="3.44140625" style="4" customWidth="1"/>
    <col min="12032" max="12032" width="27.33203125" style="4" customWidth="1"/>
    <col min="12033" max="12033" width="9.109375" style="4"/>
    <col min="12034" max="12034" width="3" style="4" customWidth="1"/>
    <col min="12035" max="12044" width="11.5546875" style="4" customWidth="1"/>
    <col min="12045" max="12286" width="9.109375" style="4"/>
    <col min="12287" max="12287" width="3.44140625" style="4" customWidth="1"/>
    <col min="12288" max="12288" width="27.33203125" style="4" customWidth="1"/>
    <col min="12289" max="12289" width="9.109375" style="4"/>
    <col min="12290" max="12290" width="3" style="4" customWidth="1"/>
    <col min="12291" max="12300" width="11.5546875" style="4" customWidth="1"/>
    <col min="12301" max="12542" width="9.109375" style="4"/>
    <col min="12543" max="12543" width="3.44140625" style="4" customWidth="1"/>
    <col min="12544" max="12544" width="27.33203125" style="4" customWidth="1"/>
    <col min="12545" max="12545" width="9.109375" style="4"/>
    <col min="12546" max="12546" width="3" style="4" customWidth="1"/>
    <col min="12547" max="12556" width="11.5546875" style="4" customWidth="1"/>
    <col min="12557" max="12798" width="9.109375" style="4"/>
    <col min="12799" max="12799" width="3.44140625" style="4" customWidth="1"/>
    <col min="12800" max="12800" width="27.33203125" style="4" customWidth="1"/>
    <col min="12801" max="12801" width="9.109375" style="4"/>
    <col min="12802" max="12802" width="3" style="4" customWidth="1"/>
    <col min="12803" max="12812" width="11.5546875" style="4" customWidth="1"/>
    <col min="12813" max="13054" width="9.109375" style="4"/>
    <col min="13055" max="13055" width="3.44140625" style="4" customWidth="1"/>
    <col min="13056" max="13056" width="27.33203125" style="4" customWidth="1"/>
    <col min="13057" max="13057" width="9.109375" style="4"/>
    <col min="13058" max="13058" width="3" style="4" customWidth="1"/>
    <col min="13059" max="13068" width="11.5546875" style="4" customWidth="1"/>
    <col min="13069" max="13310" width="9.109375" style="4"/>
    <col min="13311" max="13311" width="3.44140625" style="4" customWidth="1"/>
    <col min="13312" max="13312" width="27.33203125" style="4" customWidth="1"/>
    <col min="13313" max="13313" width="9.109375" style="4"/>
    <col min="13314" max="13314" width="3" style="4" customWidth="1"/>
    <col min="13315" max="13324" width="11.5546875" style="4" customWidth="1"/>
    <col min="13325" max="13566" width="9.109375" style="4"/>
    <col min="13567" max="13567" width="3.44140625" style="4" customWidth="1"/>
    <col min="13568" max="13568" width="27.33203125" style="4" customWidth="1"/>
    <col min="13569" max="13569" width="9.109375" style="4"/>
    <col min="13570" max="13570" width="3" style="4" customWidth="1"/>
    <col min="13571" max="13580" width="11.5546875" style="4" customWidth="1"/>
    <col min="13581" max="13822" width="9.109375" style="4"/>
    <col min="13823" max="13823" width="3.44140625" style="4" customWidth="1"/>
    <col min="13824" max="13824" width="27.33203125" style="4" customWidth="1"/>
    <col min="13825" max="13825" width="9.109375" style="4"/>
    <col min="13826" max="13826" width="3" style="4" customWidth="1"/>
    <col min="13827" max="13836" width="11.5546875" style="4" customWidth="1"/>
    <col min="13837" max="14078" width="9.109375" style="4"/>
    <col min="14079" max="14079" width="3.44140625" style="4" customWidth="1"/>
    <col min="14080" max="14080" width="27.33203125" style="4" customWidth="1"/>
    <col min="14081" max="14081" width="9.109375" style="4"/>
    <col min="14082" max="14082" width="3" style="4" customWidth="1"/>
    <col min="14083" max="14092" width="11.5546875" style="4" customWidth="1"/>
    <col min="14093" max="14334" width="9.109375" style="4"/>
    <col min="14335" max="14335" width="3.44140625" style="4" customWidth="1"/>
    <col min="14336" max="14336" width="27.33203125" style="4" customWidth="1"/>
    <col min="14337" max="14337" width="9.109375" style="4"/>
    <col min="14338" max="14338" width="3" style="4" customWidth="1"/>
    <col min="14339" max="14348" width="11.5546875" style="4" customWidth="1"/>
    <col min="14349" max="14590" width="9.109375" style="4"/>
    <col min="14591" max="14591" width="3.44140625" style="4" customWidth="1"/>
    <col min="14592" max="14592" width="27.33203125" style="4" customWidth="1"/>
    <col min="14593" max="14593" width="9.109375" style="4"/>
    <col min="14594" max="14594" width="3" style="4" customWidth="1"/>
    <col min="14595" max="14604" width="11.5546875" style="4" customWidth="1"/>
    <col min="14605" max="14846" width="9.109375" style="4"/>
    <col min="14847" max="14847" width="3.44140625" style="4" customWidth="1"/>
    <col min="14848" max="14848" width="27.33203125" style="4" customWidth="1"/>
    <col min="14849" max="14849" width="9.109375" style="4"/>
    <col min="14850" max="14850" width="3" style="4" customWidth="1"/>
    <col min="14851" max="14860" width="11.5546875" style="4" customWidth="1"/>
    <col min="14861" max="15102" width="9.109375" style="4"/>
    <col min="15103" max="15103" width="3.44140625" style="4" customWidth="1"/>
    <col min="15104" max="15104" width="27.33203125" style="4" customWidth="1"/>
    <col min="15105" max="15105" width="9.109375" style="4"/>
    <col min="15106" max="15106" width="3" style="4" customWidth="1"/>
    <col min="15107" max="15116" width="11.5546875" style="4" customWidth="1"/>
    <col min="15117" max="15358" width="9.109375" style="4"/>
    <col min="15359" max="15359" width="3.44140625" style="4" customWidth="1"/>
    <col min="15360" max="15360" width="27.33203125" style="4" customWidth="1"/>
    <col min="15361" max="15361" width="9.109375" style="4"/>
    <col min="15362" max="15362" width="3" style="4" customWidth="1"/>
    <col min="15363" max="15372" width="11.5546875" style="4" customWidth="1"/>
    <col min="15373" max="15614" width="9.109375" style="4"/>
    <col min="15615" max="15615" width="3.44140625" style="4" customWidth="1"/>
    <col min="15616" max="15616" width="27.33203125" style="4" customWidth="1"/>
    <col min="15617" max="15617" width="9.109375" style="4"/>
    <col min="15618" max="15618" width="3" style="4" customWidth="1"/>
    <col min="15619" max="15628" width="11.5546875" style="4" customWidth="1"/>
    <col min="15629" max="15870" width="9.109375" style="4"/>
    <col min="15871" max="15871" width="3.44140625" style="4" customWidth="1"/>
    <col min="15872" max="15872" width="27.33203125" style="4" customWidth="1"/>
    <col min="15873" max="15873" width="9.109375" style="4"/>
    <col min="15874" max="15874" width="3" style="4" customWidth="1"/>
    <col min="15875" max="15884" width="11.5546875" style="4" customWidth="1"/>
    <col min="15885" max="16126" width="9.109375" style="4"/>
    <col min="16127" max="16127" width="3.44140625" style="4" customWidth="1"/>
    <col min="16128" max="16128" width="27.33203125" style="4" customWidth="1"/>
    <col min="16129" max="16129" width="9.109375" style="4"/>
    <col min="16130" max="16130" width="3" style="4" customWidth="1"/>
    <col min="16131" max="16140" width="11.5546875" style="4" customWidth="1"/>
    <col min="16141" max="16384" width="9.109375" style="4"/>
  </cols>
  <sheetData>
    <row r="1" spans="1:14" x14ac:dyDescent="0.3">
      <c r="A1" s="43" t="s">
        <v>0</v>
      </c>
      <c r="E1" s="53" t="s">
        <v>142</v>
      </c>
      <c r="F1" s="53"/>
      <c r="G1" s="53"/>
      <c r="H1" s="54" t="s">
        <v>143</v>
      </c>
      <c r="I1" s="55"/>
      <c r="J1" s="55"/>
      <c r="K1" s="55"/>
      <c r="L1" s="55"/>
    </row>
    <row r="2" spans="1:14" s="2" customFormat="1" x14ac:dyDescent="0.3">
      <c r="A2" s="1"/>
      <c r="E2" s="70">
        <f>PnL!E2</f>
        <v>2016</v>
      </c>
      <c r="F2" s="70">
        <f>PnL!F2</f>
        <v>2017</v>
      </c>
      <c r="G2" s="70">
        <f>PnL!G2</f>
        <v>2018</v>
      </c>
      <c r="H2" s="70">
        <f>PnL!H2</f>
        <v>2019</v>
      </c>
      <c r="I2" s="70">
        <f>PnL!I2</f>
        <v>2020</v>
      </c>
      <c r="J2" s="70">
        <f>PnL!J2</f>
        <v>2021</v>
      </c>
      <c r="K2" s="70">
        <f>PnL!K2</f>
        <v>2022</v>
      </c>
      <c r="L2" s="70">
        <f>PnL!L2</f>
        <v>2023</v>
      </c>
    </row>
    <row r="4" spans="1:14" x14ac:dyDescent="0.3">
      <c r="A4" s="5" t="s">
        <v>26</v>
      </c>
    </row>
    <row r="5" spans="1:14" x14ac:dyDescent="0.3">
      <c r="B5" s="4" t="s">
        <v>105</v>
      </c>
      <c r="E5" s="80"/>
      <c r="F5" s="71">
        <f>E8</f>
        <v>200</v>
      </c>
      <c r="G5" s="71">
        <f t="shared" ref="G5:L5" si="0">F8</f>
        <v>190</v>
      </c>
      <c r="H5" s="71">
        <f t="shared" si="0"/>
        <v>380</v>
      </c>
      <c r="I5" s="71">
        <f t="shared" si="0"/>
        <v>360</v>
      </c>
      <c r="J5" s="71">
        <f t="shared" si="0"/>
        <v>340</v>
      </c>
      <c r="K5" s="71">
        <f t="shared" si="0"/>
        <v>320</v>
      </c>
      <c r="L5" s="71">
        <f t="shared" si="0"/>
        <v>300</v>
      </c>
    </row>
    <row r="6" spans="1:14" x14ac:dyDescent="0.3">
      <c r="B6" s="4" t="s">
        <v>111</v>
      </c>
      <c r="E6" s="81" cm="1">
        <f t="array" ref="E6:L6">(Assumptions!E61:L61)/10^6</f>
        <v>0</v>
      </c>
      <c r="F6" s="81">
        <v>0</v>
      </c>
      <c r="G6" s="81">
        <v>200</v>
      </c>
      <c r="H6" s="81">
        <v>0</v>
      </c>
      <c r="I6" s="81">
        <v>0</v>
      </c>
      <c r="J6" s="81">
        <v>0</v>
      </c>
      <c r="K6" s="81">
        <v>0</v>
      </c>
      <c r="L6" s="81">
        <v>0</v>
      </c>
      <c r="N6" s="60" t="s">
        <v>144</v>
      </c>
    </row>
    <row r="7" spans="1:14" x14ac:dyDescent="0.3">
      <c r="B7" s="2" t="s">
        <v>112</v>
      </c>
      <c r="C7" s="2"/>
      <c r="D7" s="2"/>
      <c r="E7" s="4">
        <f>0/(10^6)</f>
        <v>0</v>
      </c>
      <c r="F7" s="4">
        <f>(Assumptions!F57)/(10^6)</f>
        <v>10</v>
      </c>
      <c r="G7" s="4">
        <f>(Assumptions!G57)/(10^6)</f>
        <v>10</v>
      </c>
      <c r="H7" s="4">
        <f>(Assumptions!H57)/(10^6)</f>
        <v>20</v>
      </c>
      <c r="I7" s="4">
        <f>(Assumptions!I57)/(10^6)</f>
        <v>20</v>
      </c>
      <c r="J7" s="4">
        <f>(Assumptions!J57)/(10^6)</f>
        <v>20</v>
      </c>
      <c r="K7" s="4">
        <f>(Assumptions!K57)/(10^6)</f>
        <v>20</v>
      </c>
      <c r="L7" s="4">
        <f>(Assumptions!L57)/(10^6)</f>
        <v>20</v>
      </c>
      <c r="N7" s="60" t="s">
        <v>144</v>
      </c>
    </row>
    <row r="8" spans="1:14" x14ac:dyDescent="0.3">
      <c r="B8" s="5" t="s">
        <v>108</v>
      </c>
      <c r="C8" s="5"/>
      <c r="D8" s="5"/>
      <c r="E8" s="78">
        <f>BS!E16</f>
        <v>200</v>
      </c>
      <c r="F8" s="78">
        <f>F5+F6-F7</f>
        <v>190</v>
      </c>
      <c r="G8" s="78">
        <f t="shared" ref="G8:L8" si="1">G5+G6-G7</f>
        <v>380</v>
      </c>
      <c r="H8" s="78">
        <f t="shared" si="1"/>
        <v>360</v>
      </c>
      <c r="I8" s="78">
        <f t="shared" si="1"/>
        <v>340</v>
      </c>
      <c r="J8" s="78">
        <f t="shared" si="1"/>
        <v>320</v>
      </c>
      <c r="K8" s="78">
        <f t="shared" si="1"/>
        <v>300</v>
      </c>
      <c r="L8" s="78">
        <f t="shared" si="1"/>
        <v>280</v>
      </c>
    </row>
    <row r="10" spans="1:14" x14ac:dyDescent="0.3">
      <c r="B10" s="4" t="s">
        <v>113</v>
      </c>
      <c r="E10" s="7"/>
      <c r="F10" s="85"/>
      <c r="G10" s="85"/>
      <c r="H10" s="56">
        <f>AVERAGE(H5,H8)</f>
        <v>370</v>
      </c>
      <c r="I10" s="56">
        <f t="shared" ref="I10:L10" si="2">AVERAGE(I5,I8)</f>
        <v>350</v>
      </c>
      <c r="J10" s="56">
        <f t="shared" si="2"/>
        <v>330</v>
      </c>
      <c r="K10" s="56">
        <f t="shared" si="2"/>
        <v>310</v>
      </c>
      <c r="L10" s="56">
        <f t="shared" si="2"/>
        <v>290</v>
      </c>
    </row>
    <row r="11" spans="1:14" x14ac:dyDescent="0.3">
      <c r="B11" s="4" t="s">
        <v>114</v>
      </c>
      <c r="E11" s="7"/>
      <c r="F11" s="86"/>
      <c r="G11" s="87"/>
      <c r="H11" s="83">
        <f>Assumptions!H50</f>
        <v>0.1</v>
      </c>
      <c r="I11" s="83">
        <f>Assumptions!I50</f>
        <v>0.1</v>
      </c>
      <c r="J11" s="83">
        <f>Assumptions!J50</f>
        <v>0.1</v>
      </c>
      <c r="K11" s="83">
        <f>Assumptions!K50</f>
        <v>0.1</v>
      </c>
      <c r="L11" s="83">
        <f>Assumptions!L50</f>
        <v>0.1</v>
      </c>
      <c r="N11" s="60" t="s">
        <v>144</v>
      </c>
    </row>
    <row r="12" spans="1:14" x14ac:dyDescent="0.3">
      <c r="B12" s="4" t="s">
        <v>115</v>
      </c>
      <c r="E12" s="7"/>
      <c r="F12" s="85"/>
      <c r="G12" s="85"/>
      <c r="H12" s="56">
        <f>H10*H11</f>
        <v>37</v>
      </c>
      <c r="I12" s="56">
        <f t="shared" ref="I12:L12" si="3">I10*I11</f>
        <v>35</v>
      </c>
      <c r="J12" s="56">
        <f t="shared" si="3"/>
        <v>33</v>
      </c>
      <c r="K12" s="56">
        <f t="shared" si="3"/>
        <v>31</v>
      </c>
      <c r="L12" s="56">
        <f t="shared" si="3"/>
        <v>29</v>
      </c>
    </row>
    <row r="14" spans="1:14" x14ac:dyDescent="0.3">
      <c r="A14" s="5" t="s">
        <v>25</v>
      </c>
    </row>
    <row r="15" spans="1:14" x14ac:dyDescent="0.3">
      <c r="B15" s="4" t="s">
        <v>105</v>
      </c>
      <c r="E15" s="80"/>
      <c r="F15" s="7">
        <f>E18</f>
        <v>0</v>
      </c>
      <c r="G15" s="7">
        <f t="shared" ref="G15:L15" si="4">F18</f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</row>
    <row r="16" spans="1:14" x14ac:dyDescent="0.3">
      <c r="B16" s="4" t="s">
        <v>111</v>
      </c>
      <c r="E16" s="81"/>
      <c r="F16" s="14">
        <f>Assumptions!F60/1000000</f>
        <v>0</v>
      </c>
      <c r="G16" s="14">
        <f>Assumptions!G60/1000000</f>
        <v>0</v>
      </c>
      <c r="H16" s="14">
        <f>Assumptions!H60/1000000</f>
        <v>0</v>
      </c>
      <c r="I16" s="14">
        <f>Assumptions!I60/1000000</f>
        <v>0</v>
      </c>
      <c r="J16" s="14">
        <f>Assumptions!J60/1000000</f>
        <v>0</v>
      </c>
      <c r="K16" s="14">
        <f>Assumptions!K60/1000000</f>
        <v>0</v>
      </c>
      <c r="L16" s="14">
        <f>Assumptions!L60/1000000</f>
        <v>0</v>
      </c>
    </row>
    <row r="17" spans="1:14" x14ac:dyDescent="0.3">
      <c r="B17" s="2" t="s">
        <v>112</v>
      </c>
      <c r="C17" s="2"/>
      <c r="D17" s="2"/>
      <c r="E17" s="82"/>
      <c r="F17" s="16">
        <f>Assumptions!F56/1000000</f>
        <v>0</v>
      </c>
      <c r="G17" s="16">
        <f>Assumptions!G56/1000000</f>
        <v>0</v>
      </c>
      <c r="H17" s="16">
        <f>Assumptions!H56/1000000</f>
        <v>0</v>
      </c>
      <c r="I17" s="16">
        <f>Assumptions!I56/1000000</f>
        <v>0</v>
      </c>
      <c r="J17" s="16">
        <f>Assumptions!J56/1000000</f>
        <v>0</v>
      </c>
      <c r="K17" s="16">
        <f>Assumptions!K56/1000000</f>
        <v>0</v>
      </c>
      <c r="L17" s="16">
        <f>Assumptions!L56/1000000</f>
        <v>0</v>
      </c>
    </row>
    <row r="18" spans="1:14" x14ac:dyDescent="0.3">
      <c r="B18" s="5" t="s">
        <v>108</v>
      </c>
      <c r="C18" s="5"/>
      <c r="D18" s="5"/>
      <c r="E18" s="88">
        <f>BS!E15</f>
        <v>0</v>
      </c>
      <c r="F18" s="10">
        <f>F15+F16-F17</f>
        <v>0</v>
      </c>
      <c r="G18" s="10">
        <f t="shared" ref="G18:L18" si="5">G15+G16-G17</f>
        <v>0</v>
      </c>
      <c r="H18" s="10">
        <f t="shared" si="5"/>
        <v>0</v>
      </c>
      <c r="I18" s="10">
        <f t="shared" si="5"/>
        <v>0</v>
      </c>
      <c r="J18" s="10">
        <f t="shared" si="5"/>
        <v>0</v>
      </c>
      <c r="K18" s="10">
        <f t="shared" si="5"/>
        <v>0</v>
      </c>
      <c r="L18" s="10">
        <f t="shared" si="5"/>
        <v>0</v>
      </c>
    </row>
    <row r="20" spans="1:14" x14ac:dyDescent="0.3">
      <c r="B20" s="4" t="s">
        <v>113</v>
      </c>
      <c r="E20" s="7"/>
      <c r="F20" s="7"/>
      <c r="G20" s="7"/>
      <c r="H20" s="7">
        <f t="shared" ref="H20:L20" si="6">AVERAGE(G18:H18)</f>
        <v>0</v>
      </c>
      <c r="I20" s="7">
        <f t="shared" si="6"/>
        <v>0</v>
      </c>
      <c r="J20" s="7">
        <f t="shared" si="6"/>
        <v>0</v>
      </c>
      <c r="K20" s="7">
        <f t="shared" si="6"/>
        <v>0</v>
      </c>
      <c r="L20" s="7">
        <f t="shared" si="6"/>
        <v>0</v>
      </c>
    </row>
    <row r="21" spans="1:14" x14ac:dyDescent="0.3">
      <c r="B21" s="4" t="s">
        <v>114</v>
      </c>
      <c r="E21" s="7"/>
      <c r="F21" s="39"/>
      <c r="G21" s="39"/>
      <c r="H21" s="89">
        <f>Assumptions!H49</f>
        <v>0.1</v>
      </c>
      <c r="I21" s="89">
        <f>Assumptions!I49</f>
        <v>0.1</v>
      </c>
      <c r="J21" s="89">
        <f>Assumptions!J49</f>
        <v>0.1</v>
      </c>
      <c r="K21" s="89">
        <f>Assumptions!K49</f>
        <v>0.1</v>
      </c>
      <c r="L21" s="89">
        <f>Assumptions!L49</f>
        <v>0.1</v>
      </c>
    </row>
    <row r="22" spans="1:14" x14ac:dyDescent="0.3">
      <c r="B22" s="4" t="s">
        <v>115</v>
      </c>
      <c r="E22" s="7"/>
      <c r="F22" s="7"/>
      <c r="G22" s="7"/>
      <c r="H22" s="7">
        <f t="shared" ref="H22:L22" si="7">H21*H20</f>
        <v>0</v>
      </c>
      <c r="I22" s="7">
        <f t="shared" si="7"/>
        <v>0</v>
      </c>
      <c r="J22" s="7">
        <f t="shared" si="7"/>
        <v>0</v>
      </c>
      <c r="K22" s="7">
        <f t="shared" si="7"/>
        <v>0</v>
      </c>
      <c r="L22" s="7">
        <f t="shared" si="7"/>
        <v>0</v>
      </c>
    </row>
    <row r="24" spans="1:14" s="5" customFormat="1" ht="13.2" x14ac:dyDescent="0.25">
      <c r="B24" s="36" t="s">
        <v>116</v>
      </c>
      <c r="C24" s="36"/>
      <c r="D24" s="36"/>
      <c r="E24" s="90"/>
      <c r="F24" s="90"/>
      <c r="G24" s="90"/>
      <c r="H24" s="37">
        <f t="shared" ref="H24:I24" si="8">H12+H22</f>
        <v>37</v>
      </c>
      <c r="I24" s="37">
        <f t="shared" si="8"/>
        <v>35</v>
      </c>
      <c r="J24" s="37">
        <f>J12+J22</f>
        <v>33</v>
      </c>
      <c r="K24" s="37">
        <f>K12+K22</f>
        <v>31</v>
      </c>
      <c r="L24" s="37">
        <f>L12+L22</f>
        <v>29</v>
      </c>
    </row>
    <row r="25" spans="1:14" s="5" customFormat="1" ht="13.2" x14ac:dyDescent="0.25">
      <c r="E25" s="38"/>
      <c r="F25" s="38"/>
      <c r="G25" s="38"/>
      <c r="H25" s="38"/>
      <c r="I25" s="38"/>
      <c r="J25" s="10"/>
      <c r="K25" s="10"/>
      <c r="L25" s="10"/>
    </row>
    <row r="27" spans="1:14" x14ac:dyDescent="0.3">
      <c r="A27" s="5" t="s">
        <v>117</v>
      </c>
      <c r="E27" s="7"/>
      <c r="F27" s="7"/>
      <c r="G27" s="66">
        <f>CF!G41</f>
        <v>169.36000000000007</v>
      </c>
      <c r="H27" s="66">
        <f ca="1">CF!H41</f>
        <v>337.97611853099232</v>
      </c>
      <c r="I27" s="66">
        <f ca="1">CF!I41</f>
        <v>434.73905692238515</v>
      </c>
      <c r="J27" s="66">
        <f ca="1">CF!J41</f>
        <v>531.96442158616014</v>
      </c>
      <c r="K27" s="66">
        <f ca="1">CF!K41</f>
        <v>670.16044392782624</v>
      </c>
      <c r="L27" s="66">
        <f ca="1">CF!L41</f>
        <v>860.60585637465022</v>
      </c>
      <c r="N27" s="60" t="s">
        <v>147</v>
      </c>
    </row>
    <row r="29" spans="1:14" x14ac:dyDescent="0.3">
      <c r="B29" s="4" t="s">
        <v>71</v>
      </c>
      <c r="C29" s="34"/>
      <c r="F29" s="34"/>
      <c r="G29" s="34"/>
      <c r="H29" s="99">
        <f>Assumptions!H52</f>
        <v>0.06</v>
      </c>
      <c r="I29" s="99">
        <f>Assumptions!I52</f>
        <v>0.06</v>
      </c>
      <c r="J29" s="99">
        <f>Assumptions!J52</f>
        <v>0.06</v>
      </c>
      <c r="K29" s="99">
        <f>Assumptions!K52</f>
        <v>0.06</v>
      </c>
      <c r="L29" s="99">
        <f>Assumptions!L52</f>
        <v>0.06</v>
      </c>
    </row>
    <row r="30" spans="1:14" x14ac:dyDescent="0.3">
      <c r="B30" s="4" t="s">
        <v>72</v>
      </c>
      <c r="C30" s="34"/>
      <c r="F30" s="34"/>
      <c r="G30" s="34"/>
      <c r="H30" s="99">
        <f>Assumptions!H53</f>
        <v>0.08</v>
      </c>
      <c r="I30" s="99">
        <f>Assumptions!I53</f>
        <v>0.08</v>
      </c>
      <c r="J30" s="99">
        <f>Assumptions!J53</f>
        <v>0.08</v>
      </c>
      <c r="K30" s="99">
        <f>Assumptions!K53</f>
        <v>0.08</v>
      </c>
      <c r="L30" s="99">
        <f>Assumptions!L53</f>
        <v>0.08</v>
      </c>
    </row>
    <row r="32" spans="1:14" x14ac:dyDescent="0.3">
      <c r="A32" s="17"/>
      <c r="B32" s="36" t="s">
        <v>118</v>
      </c>
      <c r="C32" s="36"/>
      <c r="D32" s="36"/>
      <c r="E32" s="36"/>
      <c r="F32" s="37"/>
      <c r="G32" s="37"/>
      <c r="H32" s="98">
        <f ca="1">H27*H29</f>
        <v>20.278567111859537</v>
      </c>
      <c r="I32" s="98">
        <f t="shared" ref="I32:L32" ca="1" si="9">I27*I29</f>
        <v>26.084343415343106</v>
      </c>
      <c r="J32" s="98">
        <f t="shared" ca="1" si="9"/>
        <v>31.917865295169609</v>
      </c>
      <c r="K32" s="98">
        <f t="shared" ca="1" si="9"/>
        <v>40.209626635669572</v>
      </c>
      <c r="L32" s="98">
        <f t="shared" ca="1" si="9"/>
        <v>51.636351382479013</v>
      </c>
    </row>
    <row r="34" spans="2:12" x14ac:dyDescent="0.3">
      <c r="B34" s="36" t="s">
        <v>119</v>
      </c>
      <c r="C34" s="36"/>
      <c r="D34" s="36"/>
      <c r="E34" s="36"/>
      <c r="F34" s="36"/>
      <c r="G34" s="36"/>
      <c r="H34" s="58">
        <f ca="1">H24-H32</f>
        <v>16.721432888140463</v>
      </c>
      <c r="I34" s="58">
        <f t="shared" ref="I34:L34" ca="1" si="10">I24-I32</f>
        <v>8.9156565846568938</v>
      </c>
      <c r="J34" s="58">
        <f t="shared" ca="1" si="10"/>
        <v>1.0821347048303913</v>
      </c>
      <c r="K34" s="58">
        <f t="shared" ca="1" si="10"/>
        <v>-9.2096266356695722</v>
      </c>
      <c r="L34" s="58">
        <f t="shared" ca="1" si="10"/>
        <v>-22.636351382479013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0" sqref="F10:L10"/>
    </sheetView>
  </sheetViews>
  <sheetFormatPr defaultRowHeight="14.4" x14ac:dyDescent="0.3"/>
  <cols>
    <col min="1" max="1" width="3.44140625" style="4" customWidth="1"/>
    <col min="2" max="2" width="19.33203125" style="4" customWidth="1"/>
    <col min="3" max="3" width="9.109375" style="4"/>
    <col min="4" max="4" width="3" style="4" customWidth="1"/>
    <col min="5" max="12" width="12.5546875" style="4" customWidth="1"/>
    <col min="13" max="13" width="8.6640625" style="4" customWidth="1"/>
    <col min="14" max="254" width="9.109375" style="4"/>
    <col min="255" max="255" width="3.44140625" style="4" customWidth="1"/>
    <col min="256" max="256" width="19.33203125" style="4" customWidth="1"/>
    <col min="257" max="257" width="9.109375" style="4"/>
    <col min="258" max="258" width="3" style="4" customWidth="1"/>
    <col min="259" max="268" width="12.5546875" style="4" customWidth="1"/>
    <col min="269" max="510" width="9.109375" style="4"/>
    <col min="511" max="511" width="3.44140625" style="4" customWidth="1"/>
    <col min="512" max="512" width="19.33203125" style="4" customWidth="1"/>
    <col min="513" max="513" width="9.109375" style="4"/>
    <col min="514" max="514" width="3" style="4" customWidth="1"/>
    <col min="515" max="524" width="12.5546875" style="4" customWidth="1"/>
    <col min="525" max="766" width="9.109375" style="4"/>
    <col min="767" max="767" width="3.44140625" style="4" customWidth="1"/>
    <col min="768" max="768" width="19.33203125" style="4" customWidth="1"/>
    <col min="769" max="769" width="9.109375" style="4"/>
    <col min="770" max="770" width="3" style="4" customWidth="1"/>
    <col min="771" max="780" width="12.5546875" style="4" customWidth="1"/>
    <col min="781" max="1022" width="9.109375" style="4"/>
    <col min="1023" max="1023" width="3.44140625" style="4" customWidth="1"/>
    <col min="1024" max="1024" width="19.33203125" style="4" customWidth="1"/>
    <col min="1025" max="1025" width="9.109375" style="4"/>
    <col min="1026" max="1026" width="3" style="4" customWidth="1"/>
    <col min="1027" max="1036" width="12.5546875" style="4" customWidth="1"/>
    <col min="1037" max="1278" width="9.109375" style="4"/>
    <col min="1279" max="1279" width="3.44140625" style="4" customWidth="1"/>
    <col min="1280" max="1280" width="19.33203125" style="4" customWidth="1"/>
    <col min="1281" max="1281" width="9.109375" style="4"/>
    <col min="1282" max="1282" width="3" style="4" customWidth="1"/>
    <col min="1283" max="1292" width="12.5546875" style="4" customWidth="1"/>
    <col min="1293" max="1534" width="9.109375" style="4"/>
    <col min="1535" max="1535" width="3.44140625" style="4" customWidth="1"/>
    <col min="1536" max="1536" width="19.33203125" style="4" customWidth="1"/>
    <col min="1537" max="1537" width="9.109375" style="4"/>
    <col min="1538" max="1538" width="3" style="4" customWidth="1"/>
    <col min="1539" max="1548" width="12.5546875" style="4" customWidth="1"/>
    <col min="1549" max="1790" width="9.109375" style="4"/>
    <col min="1791" max="1791" width="3.44140625" style="4" customWidth="1"/>
    <col min="1792" max="1792" width="19.33203125" style="4" customWidth="1"/>
    <col min="1793" max="1793" width="9.109375" style="4"/>
    <col min="1794" max="1794" width="3" style="4" customWidth="1"/>
    <col min="1795" max="1804" width="12.5546875" style="4" customWidth="1"/>
    <col min="1805" max="2046" width="9.109375" style="4"/>
    <col min="2047" max="2047" width="3.44140625" style="4" customWidth="1"/>
    <col min="2048" max="2048" width="19.33203125" style="4" customWidth="1"/>
    <col min="2049" max="2049" width="9.109375" style="4"/>
    <col min="2050" max="2050" width="3" style="4" customWidth="1"/>
    <col min="2051" max="2060" width="12.5546875" style="4" customWidth="1"/>
    <col min="2061" max="2302" width="9.109375" style="4"/>
    <col min="2303" max="2303" width="3.44140625" style="4" customWidth="1"/>
    <col min="2304" max="2304" width="19.33203125" style="4" customWidth="1"/>
    <col min="2305" max="2305" width="9.109375" style="4"/>
    <col min="2306" max="2306" width="3" style="4" customWidth="1"/>
    <col min="2307" max="2316" width="12.5546875" style="4" customWidth="1"/>
    <col min="2317" max="2558" width="9.109375" style="4"/>
    <col min="2559" max="2559" width="3.44140625" style="4" customWidth="1"/>
    <col min="2560" max="2560" width="19.33203125" style="4" customWidth="1"/>
    <col min="2561" max="2561" width="9.109375" style="4"/>
    <col min="2562" max="2562" width="3" style="4" customWidth="1"/>
    <col min="2563" max="2572" width="12.5546875" style="4" customWidth="1"/>
    <col min="2573" max="2814" width="9.109375" style="4"/>
    <col min="2815" max="2815" width="3.44140625" style="4" customWidth="1"/>
    <col min="2816" max="2816" width="19.33203125" style="4" customWidth="1"/>
    <col min="2817" max="2817" width="9.109375" style="4"/>
    <col min="2818" max="2818" width="3" style="4" customWidth="1"/>
    <col min="2819" max="2828" width="12.5546875" style="4" customWidth="1"/>
    <col min="2829" max="3070" width="9.109375" style="4"/>
    <col min="3071" max="3071" width="3.44140625" style="4" customWidth="1"/>
    <col min="3072" max="3072" width="19.33203125" style="4" customWidth="1"/>
    <col min="3073" max="3073" width="9.109375" style="4"/>
    <col min="3074" max="3074" width="3" style="4" customWidth="1"/>
    <col min="3075" max="3084" width="12.5546875" style="4" customWidth="1"/>
    <col min="3085" max="3326" width="9.109375" style="4"/>
    <col min="3327" max="3327" width="3.44140625" style="4" customWidth="1"/>
    <col min="3328" max="3328" width="19.33203125" style="4" customWidth="1"/>
    <col min="3329" max="3329" width="9.109375" style="4"/>
    <col min="3330" max="3330" width="3" style="4" customWidth="1"/>
    <col min="3331" max="3340" width="12.5546875" style="4" customWidth="1"/>
    <col min="3341" max="3582" width="9.109375" style="4"/>
    <col min="3583" max="3583" width="3.44140625" style="4" customWidth="1"/>
    <col min="3584" max="3584" width="19.33203125" style="4" customWidth="1"/>
    <col min="3585" max="3585" width="9.109375" style="4"/>
    <col min="3586" max="3586" width="3" style="4" customWidth="1"/>
    <col min="3587" max="3596" width="12.5546875" style="4" customWidth="1"/>
    <col min="3597" max="3838" width="9.109375" style="4"/>
    <col min="3839" max="3839" width="3.44140625" style="4" customWidth="1"/>
    <col min="3840" max="3840" width="19.33203125" style="4" customWidth="1"/>
    <col min="3841" max="3841" width="9.109375" style="4"/>
    <col min="3842" max="3842" width="3" style="4" customWidth="1"/>
    <col min="3843" max="3852" width="12.5546875" style="4" customWidth="1"/>
    <col min="3853" max="4094" width="9.109375" style="4"/>
    <col min="4095" max="4095" width="3.44140625" style="4" customWidth="1"/>
    <col min="4096" max="4096" width="19.33203125" style="4" customWidth="1"/>
    <col min="4097" max="4097" width="9.109375" style="4"/>
    <col min="4098" max="4098" width="3" style="4" customWidth="1"/>
    <col min="4099" max="4108" width="12.5546875" style="4" customWidth="1"/>
    <col min="4109" max="4350" width="9.109375" style="4"/>
    <col min="4351" max="4351" width="3.44140625" style="4" customWidth="1"/>
    <col min="4352" max="4352" width="19.33203125" style="4" customWidth="1"/>
    <col min="4353" max="4353" width="9.109375" style="4"/>
    <col min="4354" max="4354" width="3" style="4" customWidth="1"/>
    <col min="4355" max="4364" width="12.5546875" style="4" customWidth="1"/>
    <col min="4365" max="4606" width="9.109375" style="4"/>
    <col min="4607" max="4607" width="3.44140625" style="4" customWidth="1"/>
    <col min="4608" max="4608" width="19.33203125" style="4" customWidth="1"/>
    <col min="4609" max="4609" width="9.109375" style="4"/>
    <col min="4610" max="4610" width="3" style="4" customWidth="1"/>
    <col min="4611" max="4620" width="12.5546875" style="4" customWidth="1"/>
    <col min="4621" max="4862" width="9.109375" style="4"/>
    <col min="4863" max="4863" width="3.44140625" style="4" customWidth="1"/>
    <col min="4864" max="4864" width="19.33203125" style="4" customWidth="1"/>
    <col min="4865" max="4865" width="9.109375" style="4"/>
    <col min="4866" max="4866" width="3" style="4" customWidth="1"/>
    <col min="4867" max="4876" width="12.5546875" style="4" customWidth="1"/>
    <col min="4877" max="5118" width="9.109375" style="4"/>
    <col min="5119" max="5119" width="3.44140625" style="4" customWidth="1"/>
    <col min="5120" max="5120" width="19.33203125" style="4" customWidth="1"/>
    <col min="5121" max="5121" width="9.109375" style="4"/>
    <col min="5122" max="5122" width="3" style="4" customWidth="1"/>
    <col min="5123" max="5132" width="12.5546875" style="4" customWidth="1"/>
    <col min="5133" max="5374" width="9.109375" style="4"/>
    <col min="5375" max="5375" width="3.44140625" style="4" customWidth="1"/>
    <col min="5376" max="5376" width="19.33203125" style="4" customWidth="1"/>
    <col min="5377" max="5377" width="9.109375" style="4"/>
    <col min="5378" max="5378" width="3" style="4" customWidth="1"/>
    <col min="5379" max="5388" width="12.5546875" style="4" customWidth="1"/>
    <col min="5389" max="5630" width="9.109375" style="4"/>
    <col min="5631" max="5631" width="3.44140625" style="4" customWidth="1"/>
    <col min="5632" max="5632" width="19.33203125" style="4" customWidth="1"/>
    <col min="5633" max="5633" width="9.109375" style="4"/>
    <col min="5634" max="5634" width="3" style="4" customWidth="1"/>
    <col min="5635" max="5644" width="12.5546875" style="4" customWidth="1"/>
    <col min="5645" max="5886" width="9.109375" style="4"/>
    <col min="5887" max="5887" width="3.44140625" style="4" customWidth="1"/>
    <col min="5888" max="5888" width="19.33203125" style="4" customWidth="1"/>
    <col min="5889" max="5889" width="9.109375" style="4"/>
    <col min="5890" max="5890" width="3" style="4" customWidth="1"/>
    <col min="5891" max="5900" width="12.5546875" style="4" customWidth="1"/>
    <col min="5901" max="6142" width="9.109375" style="4"/>
    <col min="6143" max="6143" width="3.44140625" style="4" customWidth="1"/>
    <col min="6144" max="6144" width="19.33203125" style="4" customWidth="1"/>
    <col min="6145" max="6145" width="9.109375" style="4"/>
    <col min="6146" max="6146" width="3" style="4" customWidth="1"/>
    <col min="6147" max="6156" width="12.5546875" style="4" customWidth="1"/>
    <col min="6157" max="6398" width="9.109375" style="4"/>
    <col min="6399" max="6399" width="3.44140625" style="4" customWidth="1"/>
    <col min="6400" max="6400" width="19.33203125" style="4" customWidth="1"/>
    <col min="6401" max="6401" width="9.109375" style="4"/>
    <col min="6402" max="6402" width="3" style="4" customWidth="1"/>
    <col min="6403" max="6412" width="12.5546875" style="4" customWidth="1"/>
    <col min="6413" max="6654" width="9.109375" style="4"/>
    <col min="6655" max="6655" width="3.44140625" style="4" customWidth="1"/>
    <col min="6656" max="6656" width="19.33203125" style="4" customWidth="1"/>
    <col min="6657" max="6657" width="9.109375" style="4"/>
    <col min="6658" max="6658" width="3" style="4" customWidth="1"/>
    <col min="6659" max="6668" width="12.5546875" style="4" customWidth="1"/>
    <col min="6669" max="6910" width="9.109375" style="4"/>
    <col min="6911" max="6911" width="3.44140625" style="4" customWidth="1"/>
    <col min="6912" max="6912" width="19.33203125" style="4" customWidth="1"/>
    <col min="6913" max="6913" width="9.109375" style="4"/>
    <col min="6914" max="6914" width="3" style="4" customWidth="1"/>
    <col min="6915" max="6924" width="12.5546875" style="4" customWidth="1"/>
    <col min="6925" max="7166" width="9.109375" style="4"/>
    <col min="7167" max="7167" width="3.44140625" style="4" customWidth="1"/>
    <col min="7168" max="7168" width="19.33203125" style="4" customWidth="1"/>
    <col min="7169" max="7169" width="9.109375" style="4"/>
    <col min="7170" max="7170" width="3" style="4" customWidth="1"/>
    <col min="7171" max="7180" width="12.5546875" style="4" customWidth="1"/>
    <col min="7181" max="7422" width="9.109375" style="4"/>
    <col min="7423" max="7423" width="3.44140625" style="4" customWidth="1"/>
    <col min="7424" max="7424" width="19.33203125" style="4" customWidth="1"/>
    <col min="7425" max="7425" width="9.109375" style="4"/>
    <col min="7426" max="7426" width="3" style="4" customWidth="1"/>
    <col min="7427" max="7436" width="12.5546875" style="4" customWidth="1"/>
    <col min="7437" max="7678" width="9.109375" style="4"/>
    <col min="7679" max="7679" width="3.44140625" style="4" customWidth="1"/>
    <col min="7680" max="7680" width="19.33203125" style="4" customWidth="1"/>
    <col min="7681" max="7681" width="9.109375" style="4"/>
    <col min="7682" max="7682" width="3" style="4" customWidth="1"/>
    <col min="7683" max="7692" width="12.5546875" style="4" customWidth="1"/>
    <col min="7693" max="7934" width="9.109375" style="4"/>
    <col min="7935" max="7935" width="3.44140625" style="4" customWidth="1"/>
    <col min="7936" max="7936" width="19.33203125" style="4" customWidth="1"/>
    <col min="7937" max="7937" width="9.109375" style="4"/>
    <col min="7938" max="7938" width="3" style="4" customWidth="1"/>
    <col min="7939" max="7948" width="12.5546875" style="4" customWidth="1"/>
    <col min="7949" max="8190" width="9.109375" style="4"/>
    <col min="8191" max="8191" width="3.44140625" style="4" customWidth="1"/>
    <col min="8192" max="8192" width="19.33203125" style="4" customWidth="1"/>
    <col min="8193" max="8193" width="9.109375" style="4"/>
    <col min="8194" max="8194" width="3" style="4" customWidth="1"/>
    <col min="8195" max="8204" width="12.5546875" style="4" customWidth="1"/>
    <col min="8205" max="8446" width="9.109375" style="4"/>
    <col min="8447" max="8447" width="3.44140625" style="4" customWidth="1"/>
    <col min="8448" max="8448" width="19.33203125" style="4" customWidth="1"/>
    <col min="8449" max="8449" width="9.109375" style="4"/>
    <col min="8450" max="8450" width="3" style="4" customWidth="1"/>
    <col min="8451" max="8460" width="12.5546875" style="4" customWidth="1"/>
    <col min="8461" max="8702" width="9.109375" style="4"/>
    <col min="8703" max="8703" width="3.44140625" style="4" customWidth="1"/>
    <col min="8704" max="8704" width="19.33203125" style="4" customWidth="1"/>
    <col min="8705" max="8705" width="9.109375" style="4"/>
    <col min="8706" max="8706" width="3" style="4" customWidth="1"/>
    <col min="8707" max="8716" width="12.5546875" style="4" customWidth="1"/>
    <col min="8717" max="8958" width="9.109375" style="4"/>
    <col min="8959" max="8959" width="3.44140625" style="4" customWidth="1"/>
    <col min="8960" max="8960" width="19.33203125" style="4" customWidth="1"/>
    <col min="8961" max="8961" width="9.109375" style="4"/>
    <col min="8962" max="8962" width="3" style="4" customWidth="1"/>
    <col min="8963" max="8972" width="12.5546875" style="4" customWidth="1"/>
    <col min="8973" max="9214" width="9.109375" style="4"/>
    <col min="9215" max="9215" width="3.44140625" style="4" customWidth="1"/>
    <col min="9216" max="9216" width="19.33203125" style="4" customWidth="1"/>
    <col min="9217" max="9217" width="9.109375" style="4"/>
    <col min="9218" max="9218" width="3" style="4" customWidth="1"/>
    <col min="9219" max="9228" width="12.5546875" style="4" customWidth="1"/>
    <col min="9229" max="9470" width="9.109375" style="4"/>
    <col min="9471" max="9471" width="3.44140625" style="4" customWidth="1"/>
    <col min="9472" max="9472" width="19.33203125" style="4" customWidth="1"/>
    <col min="9473" max="9473" width="9.109375" style="4"/>
    <col min="9474" max="9474" width="3" style="4" customWidth="1"/>
    <col min="9475" max="9484" width="12.5546875" style="4" customWidth="1"/>
    <col min="9485" max="9726" width="9.109375" style="4"/>
    <col min="9727" max="9727" width="3.44140625" style="4" customWidth="1"/>
    <col min="9728" max="9728" width="19.33203125" style="4" customWidth="1"/>
    <col min="9729" max="9729" width="9.109375" style="4"/>
    <col min="9730" max="9730" width="3" style="4" customWidth="1"/>
    <col min="9731" max="9740" width="12.5546875" style="4" customWidth="1"/>
    <col min="9741" max="9982" width="9.109375" style="4"/>
    <col min="9983" max="9983" width="3.44140625" style="4" customWidth="1"/>
    <col min="9984" max="9984" width="19.33203125" style="4" customWidth="1"/>
    <col min="9985" max="9985" width="9.109375" style="4"/>
    <col min="9986" max="9986" width="3" style="4" customWidth="1"/>
    <col min="9987" max="9996" width="12.5546875" style="4" customWidth="1"/>
    <col min="9997" max="10238" width="9.109375" style="4"/>
    <col min="10239" max="10239" width="3.44140625" style="4" customWidth="1"/>
    <col min="10240" max="10240" width="19.33203125" style="4" customWidth="1"/>
    <col min="10241" max="10241" width="9.109375" style="4"/>
    <col min="10242" max="10242" width="3" style="4" customWidth="1"/>
    <col min="10243" max="10252" width="12.5546875" style="4" customWidth="1"/>
    <col min="10253" max="10494" width="9.109375" style="4"/>
    <col min="10495" max="10495" width="3.44140625" style="4" customWidth="1"/>
    <col min="10496" max="10496" width="19.33203125" style="4" customWidth="1"/>
    <col min="10497" max="10497" width="9.109375" style="4"/>
    <col min="10498" max="10498" width="3" style="4" customWidth="1"/>
    <col min="10499" max="10508" width="12.5546875" style="4" customWidth="1"/>
    <col min="10509" max="10750" width="9.109375" style="4"/>
    <col min="10751" max="10751" width="3.44140625" style="4" customWidth="1"/>
    <col min="10752" max="10752" width="19.33203125" style="4" customWidth="1"/>
    <col min="10753" max="10753" width="9.109375" style="4"/>
    <col min="10754" max="10754" width="3" style="4" customWidth="1"/>
    <col min="10755" max="10764" width="12.5546875" style="4" customWidth="1"/>
    <col min="10765" max="11006" width="9.109375" style="4"/>
    <col min="11007" max="11007" width="3.44140625" style="4" customWidth="1"/>
    <col min="11008" max="11008" width="19.33203125" style="4" customWidth="1"/>
    <col min="11009" max="11009" width="9.109375" style="4"/>
    <col min="11010" max="11010" width="3" style="4" customWidth="1"/>
    <col min="11011" max="11020" width="12.5546875" style="4" customWidth="1"/>
    <col min="11021" max="11262" width="9.109375" style="4"/>
    <col min="11263" max="11263" width="3.44140625" style="4" customWidth="1"/>
    <col min="11264" max="11264" width="19.33203125" style="4" customWidth="1"/>
    <col min="11265" max="11265" width="9.109375" style="4"/>
    <col min="11266" max="11266" width="3" style="4" customWidth="1"/>
    <col min="11267" max="11276" width="12.5546875" style="4" customWidth="1"/>
    <col min="11277" max="11518" width="9.109375" style="4"/>
    <col min="11519" max="11519" width="3.44140625" style="4" customWidth="1"/>
    <col min="11520" max="11520" width="19.33203125" style="4" customWidth="1"/>
    <col min="11521" max="11521" width="9.109375" style="4"/>
    <col min="11522" max="11522" width="3" style="4" customWidth="1"/>
    <col min="11523" max="11532" width="12.5546875" style="4" customWidth="1"/>
    <col min="11533" max="11774" width="9.109375" style="4"/>
    <col min="11775" max="11775" width="3.44140625" style="4" customWidth="1"/>
    <col min="11776" max="11776" width="19.33203125" style="4" customWidth="1"/>
    <col min="11777" max="11777" width="9.109375" style="4"/>
    <col min="11778" max="11778" width="3" style="4" customWidth="1"/>
    <col min="11779" max="11788" width="12.5546875" style="4" customWidth="1"/>
    <col min="11789" max="12030" width="9.109375" style="4"/>
    <col min="12031" max="12031" width="3.44140625" style="4" customWidth="1"/>
    <col min="12032" max="12032" width="19.33203125" style="4" customWidth="1"/>
    <col min="12033" max="12033" width="9.109375" style="4"/>
    <col min="12034" max="12034" width="3" style="4" customWidth="1"/>
    <col min="12035" max="12044" width="12.5546875" style="4" customWidth="1"/>
    <col min="12045" max="12286" width="9.109375" style="4"/>
    <col min="12287" max="12287" width="3.44140625" style="4" customWidth="1"/>
    <col min="12288" max="12288" width="19.33203125" style="4" customWidth="1"/>
    <col min="12289" max="12289" width="9.109375" style="4"/>
    <col min="12290" max="12290" width="3" style="4" customWidth="1"/>
    <col min="12291" max="12300" width="12.5546875" style="4" customWidth="1"/>
    <col min="12301" max="12542" width="9.109375" style="4"/>
    <col min="12543" max="12543" width="3.44140625" style="4" customWidth="1"/>
    <col min="12544" max="12544" width="19.33203125" style="4" customWidth="1"/>
    <col min="12545" max="12545" width="9.109375" style="4"/>
    <col min="12546" max="12546" width="3" style="4" customWidth="1"/>
    <col min="12547" max="12556" width="12.5546875" style="4" customWidth="1"/>
    <col min="12557" max="12798" width="9.109375" style="4"/>
    <col min="12799" max="12799" width="3.44140625" style="4" customWidth="1"/>
    <col min="12800" max="12800" width="19.33203125" style="4" customWidth="1"/>
    <col min="12801" max="12801" width="9.109375" style="4"/>
    <col min="12802" max="12802" width="3" style="4" customWidth="1"/>
    <col min="12803" max="12812" width="12.5546875" style="4" customWidth="1"/>
    <col min="12813" max="13054" width="9.109375" style="4"/>
    <col min="13055" max="13055" width="3.44140625" style="4" customWidth="1"/>
    <col min="13056" max="13056" width="19.33203125" style="4" customWidth="1"/>
    <col min="13057" max="13057" width="9.109375" style="4"/>
    <col min="13058" max="13058" width="3" style="4" customWidth="1"/>
    <col min="13059" max="13068" width="12.5546875" style="4" customWidth="1"/>
    <col min="13069" max="13310" width="9.109375" style="4"/>
    <col min="13311" max="13311" width="3.44140625" style="4" customWidth="1"/>
    <col min="13312" max="13312" width="19.33203125" style="4" customWidth="1"/>
    <col min="13313" max="13313" width="9.109375" style="4"/>
    <col min="13314" max="13314" width="3" style="4" customWidth="1"/>
    <col min="13315" max="13324" width="12.5546875" style="4" customWidth="1"/>
    <col min="13325" max="13566" width="9.109375" style="4"/>
    <col min="13567" max="13567" width="3.44140625" style="4" customWidth="1"/>
    <col min="13568" max="13568" width="19.33203125" style="4" customWidth="1"/>
    <col min="13569" max="13569" width="9.109375" style="4"/>
    <col min="13570" max="13570" width="3" style="4" customWidth="1"/>
    <col min="13571" max="13580" width="12.5546875" style="4" customWidth="1"/>
    <col min="13581" max="13822" width="9.109375" style="4"/>
    <col min="13823" max="13823" width="3.44140625" style="4" customWidth="1"/>
    <col min="13824" max="13824" width="19.33203125" style="4" customWidth="1"/>
    <col min="13825" max="13825" width="9.109375" style="4"/>
    <col min="13826" max="13826" width="3" style="4" customWidth="1"/>
    <col min="13827" max="13836" width="12.5546875" style="4" customWidth="1"/>
    <col min="13837" max="14078" width="9.109375" style="4"/>
    <col min="14079" max="14079" width="3.44140625" style="4" customWidth="1"/>
    <col min="14080" max="14080" width="19.33203125" style="4" customWidth="1"/>
    <col min="14081" max="14081" width="9.109375" style="4"/>
    <col min="14082" max="14082" width="3" style="4" customWidth="1"/>
    <col min="14083" max="14092" width="12.5546875" style="4" customWidth="1"/>
    <col min="14093" max="14334" width="9.109375" style="4"/>
    <col min="14335" max="14335" width="3.44140625" style="4" customWidth="1"/>
    <col min="14336" max="14336" width="19.33203125" style="4" customWidth="1"/>
    <col min="14337" max="14337" width="9.109375" style="4"/>
    <col min="14338" max="14338" width="3" style="4" customWidth="1"/>
    <col min="14339" max="14348" width="12.5546875" style="4" customWidth="1"/>
    <col min="14349" max="14590" width="9.109375" style="4"/>
    <col min="14591" max="14591" width="3.44140625" style="4" customWidth="1"/>
    <col min="14592" max="14592" width="19.33203125" style="4" customWidth="1"/>
    <col min="14593" max="14593" width="9.109375" style="4"/>
    <col min="14594" max="14594" width="3" style="4" customWidth="1"/>
    <col min="14595" max="14604" width="12.5546875" style="4" customWidth="1"/>
    <col min="14605" max="14846" width="9.109375" style="4"/>
    <col min="14847" max="14847" width="3.44140625" style="4" customWidth="1"/>
    <col min="14848" max="14848" width="19.33203125" style="4" customWidth="1"/>
    <col min="14849" max="14849" width="9.109375" style="4"/>
    <col min="14850" max="14850" width="3" style="4" customWidth="1"/>
    <col min="14851" max="14860" width="12.5546875" style="4" customWidth="1"/>
    <col min="14861" max="15102" width="9.109375" style="4"/>
    <col min="15103" max="15103" width="3.44140625" style="4" customWidth="1"/>
    <col min="15104" max="15104" width="19.33203125" style="4" customWidth="1"/>
    <col min="15105" max="15105" width="9.109375" style="4"/>
    <col min="15106" max="15106" width="3" style="4" customWidth="1"/>
    <col min="15107" max="15116" width="12.5546875" style="4" customWidth="1"/>
    <col min="15117" max="15358" width="9.109375" style="4"/>
    <col min="15359" max="15359" width="3.44140625" style="4" customWidth="1"/>
    <col min="15360" max="15360" width="19.33203125" style="4" customWidth="1"/>
    <col min="15361" max="15361" width="9.109375" style="4"/>
    <col min="15362" max="15362" width="3" style="4" customWidth="1"/>
    <col min="15363" max="15372" width="12.5546875" style="4" customWidth="1"/>
    <col min="15373" max="15614" width="9.109375" style="4"/>
    <col min="15615" max="15615" width="3.44140625" style="4" customWidth="1"/>
    <col min="15616" max="15616" width="19.33203125" style="4" customWidth="1"/>
    <col min="15617" max="15617" width="9.109375" style="4"/>
    <col min="15618" max="15618" width="3" style="4" customWidth="1"/>
    <col min="15619" max="15628" width="12.5546875" style="4" customWidth="1"/>
    <col min="15629" max="15870" width="9.109375" style="4"/>
    <col min="15871" max="15871" width="3.44140625" style="4" customWidth="1"/>
    <col min="15872" max="15872" width="19.33203125" style="4" customWidth="1"/>
    <col min="15873" max="15873" width="9.109375" style="4"/>
    <col min="15874" max="15874" width="3" style="4" customWidth="1"/>
    <col min="15875" max="15884" width="12.5546875" style="4" customWidth="1"/>
    <col min="15885" max="16126" width="9.109375" style="4"/>
    <col min="16127" max="16127" width="3.44140625" style="4" customWidth="1"/>
    <col min="16128" max="16128" width="19.33203125" style="4" customWidth="1"/>
    <col min="16129" max="16129" width="9.109375" style="4"/>
    <col min="16130" max="16130" width="3" style="4" customWidth="1"/>
    <col min="16131" max="16140" width="12.5546875" style="4" customWidth="1"/>
    <col min="16141" max="16384" width="9.109375" style="4"/>
  </cols>
  <sheetData>
    <row r="1" spans="1:14" x14ac:dyDescent="0.3">
      <c r="A1" s="43" t="s">
        <v>0</v>
      </c>
      <c r="E1" s="53" t="s">
        <v>142</v>
      </c>
      <c r="F1" s="53"/>
      <c r="G1" s="53"/>
      <c r="H1" s="54" t="s">
        <v>143</v>
      </c>
      <c r="I1" s="55"/>
      <c r="J1" s="55"/>
      <c r="K1" s="55"/>
      <c r="L1" s="55"/>
    </row>
    <row r="2" spans="1:14" x14ac:dyDescent="0.3">
      <c r="A2" s="1"/>
      <c r="B2" s="2"/>
      <c r="C2" s="2"/>
      <c r="D2" s="2"/>
      <c r="E2" s="70">
        <f>PnL!E2</f>
        <v>2016</v>
      </c>
      <c r="F2" s="70">
        <f>PnL!F2</f>
        <v>2017</v>
      </c>
      <c r="G2" s="70">
        <f>PnL!G2</f>
        <v>2018</v>
      </c>
      <c r="H2" s="70">
        <f>PnL!H2</f>
        <v>2019</v>
      </c>
      <c r="I2" s="70">
        <f>PnL!I2</f>
        <v>2020</v>
      </c>
      <c r="J2" s="70">
        <f>PnL!J2</f>
        <v>2021</v>
      </c>
      <c r="K2" s="70">
        <f>PnL!K2</f>
        <v>2022</v>
      </c>
      <c r="L2" s="70">
        <f>PnL!L2</f>
        <v>2023</v>
      </c>
    </row>
    <row r="4" spans="1:14" x14ac:dyDescent="0.3">
      <c r="A4" s="5" t="s">
        <v>120</v>
      </c>
    </row>
    <row r="5" spans="1:14" x14ac:dyDescent="0.3">
      <c r="B5" s="4" t="s">
        <v>105</v>
      </c>
      <c r="E5" s="6"/>
      <c r="F5" s="6"/>
      <c r="G5" s="7"/>
      <c r="H5" s="91">
        <f>G7</f>
        <v>50</v>
      </c>
      <c r="I5" s="91">
        <f t="shared" ref="I5:L5" si="0">H7</f>
        <v>50</v>
      </c>
      <c r="J5" s="91">
        <f t="shared" si="0"/>
        <v>50</v>
      </c>
      <c r="K5" s="91">
        <f t="shared" si="0"/>
        <v>50</v>
      </c>
      <c r="L5" s="91">
        <f t="shared" si="0"/>
        <v>50</v>
      </c>
    </row>
    <row r="6" spans="1:14" x14ac:dyDescent="0.3">
      <c r="B6" s="2" t="s">
        <v>121</v>
      </c>
      <c r="C6" s="2"/>
      <c r="D6" s="2"/>
      <c r="E6" s="8"/>
      <c r="F6" s="8">
        <f>Assumptions!F63/10^6</f>
        <v>0</v>
      </c>
      <c r="G6" s="8">
        <f>Assumptions!G63/10^6</f>
        <v>0</v>
      </c>
      <c r="H6" s="8">
        <f>Assumptions!H63/10^6</f>
        <v>0</v>
      </c>
      <c r="I6" s="8">
        <f>Assumptions!I63/10^6</f>
        <v>0</v>
      </c>
      <c r="J6" s="8">
        <f>Assumptions!J63/10^6</f>
        <v>0</v>
      </c>
      <c r="K6" s="8">
        <f>Assumptions!K63/10^6</f>
        <v>0</v>
      </c>
      <c r="L6" s="8">
        <f>Assumptions!L63/10^6</f>
        <v>0</v>
      </c>
    </row>
    <row r="7" spans="1:14" s="5" customFormat="1" ht="13.2" x14ac:dyDescent="0.25">
      <c r="B7" s="5" t="s">
        <v>108</v>
      </c>
      <c r="E7" s="88">
        <f>BS!E20</f>
        <v>50</v>
      </c>
      <c r="F7" s="88">
        <f>BS!F20</f>
        <v>50</v>
      </c>
      <c r="G7" s="88">
        <f>BS!G20</f>
        <v>50</v>
      </c>
      <c r="H7" s="10">
        <f>SUM(H5:H6)</f>
        <v>50</v>
      </c>
      <c r="I7" s="10">
        <f t="shared" ref="I7:L7" si="1">SUM(I5:I6)</f>
        <v>50</v>
      </c>
      <c r="J7" s="10">
        <f t="shared" si="1"/>
        <v>50</v>
      </c>
      <c r="K7" s="10">
        <f t="shared" si="1"/>
        <v>50</v>
      </c>
      <c r="L7" s="10">
        <f t="shared" si="1"/>
        <v>50</v>
      </c>
    </row>
    <row r="9" spans="1:14" x14ac:dyDescent="0.3">
      <c r="A9" s="5" t="s">
        <v>30</v>
      </c>
    </row>
    <row r="10" spans="1:14" x14ac:dyDescent="0.3">
      <c r="B10" s="4" t="s">
        <v>105</v>
      </c>
      <c r="D10" s="7"/>
      <c r="E10" s="7"/>
      <c r="F10" s="71">
        <f>E13</f>
        <v>4.3099999999999969</v>
      </c>
      <c r="G10" s="71">
        <f t="shared" ref="G10:L10" si="2">F13</f>
        <v>16.059999999999967</v>
      </c>
      <c r="H10" s="71">
        <f t="shared" si="2"/>
        <v>57.360000000000078</v>
      </c>
      <c r="I10" s="71">
        <f t="shared" ca="1" si="2"/>
        <v>152.93003470687108</v>
      </c>
      <c r="J10" s="71">
        <f t="shared" ca="1" si="2"/>
        <v>213.3029814827301</v>
      </c>
      <c r="K10" s="71">
        <f t="shared" ca="1" si="2"/>
        <v>281.60975939158556</v>
      </c>
      <c r="L10" s="71">
        <f t="shared" ca="1" si="2"/>
        <v>397.33062029938333</v>
      </c>
    </row>
    <row r="11" spans="1:14" x14ac:dyDescent="0.3">
      <c r="B11" s="4" t="s">
        <v>122</v>
      </c>
      <c r="D11" s="7"/>
      <c r="E11" s="7"/>
      <c r="F11" s="56">
        <f>PnL!F22</f>
        <v>11.749999999999972</v>
      </c>
      <c r="G11" s="56">
        <f>PnL!G22</f>
        <v>41.300000000000111</v>
      </c>
      <c r="H11" s="56">
        <f ca="1">PnL!H22</f>
        <v>95.570034706871013</v>
      </c>
      <c r="I11" s="56">
        <f ca="1">PnL!I22</f>
        <v>60.372946775859049</v>
      </c>
      <c r="J11" s="56">
        <f ca="1">PnL!J22</f>
        <v>68.306777908858749</v>
      </c>
      <c r="K11" s="56">
        <f ca="1">PnL!K22</f>
        <v>115.72086090819289</v>
      </c>
      <c r="L11" s="56">
        <f ca="1">PnL!L22</f>
        <v>169.03336714208132</v>
      </c>
      <c r="N11" s="60" t="s">
        <v>154</v>
      </c>
    </row>
    <row r="12" spans="1:14" x14ac:dyDescent="0.3">
      <c r="B12" s="2" t="s">
        <v>123</v>
      </c>
      <c r="C12" s="2"/>
      <c r="D12" s="9"/>
      <c r="E12" s="8"/>
      <c r="F12" s="92">
        <f>Assumptions!F65/10^6</f>
        <v>0</v>
      </c>
      <c r="G12" s="92">
        <f>Assumptions!G65/10^6</f>
        <v>0</v>
      </c>
      <c r="H12" s="92">
        <f>Assumptions!H65/10^6</f>
        <v>0</v>
      </c>
      <c r="I12" s="92">
        <f>Assumptions!I65/10^6</f>
        <v>0</v>
      </c>
      <c r="J12" s="92">
        <f>Assumptions!J65/10^6</f>
        <v>0</v>
      </c>
      <c r="K12" s="92">
        <f>Assumptions!K65/10^6</f>
        <v>0</v>
      </c>
      <c r="L12" s="92">
        <f>Assumptions!L65/10^6</f>
        <v>0</v>
      </c>
    </row>
    <row r="13" spans="1:14" s="5" customFormat="1" x14ac:dyDescent="0.3">
      <c r="B13" s="5" t="s">
        <v>108</v>
      </c>
      <c r="D13" s="10"/>
      <c r="E13" s="88">
        <f>PnL!E22</f>
        <v>4.3099999999999969</v>
      </c>
      <c r="F13" s="93">
        <f>F10+F11-F12</f>
        <v>16.059999999999967</v>
      </c>
      <c r="G13" s="93">
        <f t="shared" ref="G13:L13" si="3">G10+G11-G12</f>
        <v>57.360000000000078</v>
      </c>
      <c r="H13" s="93">
        <f t="shared" ca="1" si="3"/>
        <v>152.93003470687108</v>
      </c>
      <c r="I13" s="93">
        <f t="shared" ca="1" si="3"/>
        <v>213.30298148273013</v>
      </c>
      <c r="J13" s="93">
        <f t="shared" ca="1" si="3"/>
        <v>281.60975939158885</v>
      </c>
      <c r="K13" s="93">
        <f t="shared" ca="1" si="3"/>
        <v>397.33062029977845</v>
      </c>
      <c r="L13" s="93">
        <f t="shared" ca="1" si="3"/>
        <v>566.36398744146459</v>
      </c>
      <c r="M13" s="4"/>
    </row>
    <row r="16" spans="1:14" x14ac:dyDescent="0.3">
      <c r="E16" s="60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workbookViewId="0">
      <pane xSplit="4" ySplit="2" topLeftCell="E27" activePane="bottomRight" state="frozen"/>
      <selection pane="topRight" activeCell="E1" sqref="E1"/>
      <selection pane="bottomLeft" activeCell="A3" sqref="A3"/>
      <selection pane="bottomRight" activeCell="K45" sqref="K45"/>
    </sheetView>
  </sheetViews>
  <sheetFormatPr defaultRowHeight="14.4" x14ac:dyDescent="0.3"/>
  <cols>
    <col min="1" max="1" width="3.109375" style="4" customWidth="1"/>
    <col min="2" max="2" width="41.88671875" style="4" customWidth="1"/>
    <col min="3" max="3" width="3.5546875" style="4" customWidth="1"/>
    <col min="4" max="4" width="3.109375" style="4" customWidth="1"/>
    <col min="5" max="5" width="13.44140625" style="4" customWidth="1"/>
    <col min="6" max="6" width="11.5546875" style="4" customWidth="1"/>
    <col min="7" max="7" width="14.33203125" style="4" customWidth="1"/>
    <col min="8" max="12" width="11.5546875" style="4" customWidth="1"/>
    <col min="13" max="13" width="8.6640625" style="4" customWidth="1"/>
    <col min="14" max="254" width="9.109375" style="4"/>
    <col min="255" max="255" width="3.109375" style="4" customWidth="1"/>
    <col min="256" max="256" width="41.88671875" style="4" customWidth="1"/>
    <col min="257" max="257" width="3.5546875" style="4" customWidth="1"/>
    <col min="258" max="258" width="3.109375" style="4" customWidth="1"/>
    <col min="259" max="268" width="11.5546875" style="4" customWidth="1"/>
    <col min="269" max="510" width="9.109375" style="4"/>
    <col min="511" max="511" width="3.109375" style="4" customWidth="1"/>
    <col min="512" max="512" width="41.88671875" style="4" customWidth="1"/>
    <col min="513" max="513" width="3.5546875" style="4" customWidth="1"/>
    <col min="514" max="514" width="3.109375" style="4" customWidth="1"/>
    <col min="515" max="524" width="11.5546875" style="4" customWidth="1"/>
    <col min="525" max="766" width="9.109375" style="4"/>
    <col min="767" max="767" width="3.109375" style="4" customWidth="1"/>
    <col min="768" max="768" width="41.88671875" style="4" customWidth="1"/>
    <col min="769" max="769" width="3.5546875" style="4" customWidth="1"/>
    <col min="770" max="770" width="3.109375" style="4" customWidth="1"/>
    <col min="771" max="780" width="11.5546875" style="4" customWidth="1"/>
    <col min="781" max="1022" width="9.109375" style="4"/>
    <col min="1023" max="1023" width="3.109375" style="4" customWidth="1"/>
    <col min="1024" max="1024" width="41.88671875" style="4" customWidth="1"/>
    <col min="1025" max="1025" width="3.5546875" style="4" customWidth="1"/>
    <col min="1026" max="1026" width="3.109375" style="4" customWidth="1"/>
    <col min="1027" max="1036" width="11.5546875" style="4" customWidth="1"/>
    <col min="1037" max="1278" width="9.109375" style="4"/>
    <col min="1279" max="1279" width="3.109375" style="4" customWidth="1"/>
    <col min="1280" max="1280" width="41.88671875" style="4" customWidth="1"/>
    <col min="1281" max="1281" width="3.5546875" style="4" customWidth="1"/>
    <col min="1282" max="1282" width="3.109375" style="4" customWidth="1"/>
    <col min="1283" max="1292" width="11.5546875" style="4" customWidth="1"/>
    <col min="1293" max="1534" width="9.109375" style="4"/>
    <col min="1535" max="1535" width="3.109375" style="4" customWidth="1"/>
    <col min="1536" max="1536" width="41.88671875" style="4" customWidth="1"/>
    <col min="1537" max="1537" width="3.5546875" style="4" customWidth="1"/>
    <col min="1538" max="1538" width="3.109375" style="4" customWidth="1"/>
    <col min="1539" max="1548" width="11.5546875" style="4" customWidth="1"/>
    <col min="1549" max="1790" width="9.109375" style="4"/>
    <col min="1791" max="1791" width="3.109375" style="4" customWidth="1"/>
    <col min="1792" max="1792" width="41.88671875" style="4" customWidth="1"/>
    <col min="1793" max="1793" width="3.5546875" style="4" customWidth="1"/>
    <col min="1794" max="1794" width="3.109375" style="4" customWidth="1"/>
    <col min="1795" max="1804" width="11.5546875" style="4" customWidth="1"/>
    <col min="1805" max="2046" width="9.109375" style="4"/>
    <col min="2047" max="2047" width="3.109375" style="4" customWidth="1"/>
    <col min="2048" max="2048" width="41.88671875" style="4" customWidth="1"/>
    <col min="2049" max="2049" width="3.5546875" style="4" customWidth="1"/>
    <col min="2050" max="2050" width="3.109375" style="4" customWidth="1"/>
    <col min="2051" max="2060" width="11.5546875" style="4" customWidth="1"/>
    <col min="2061" max="2302" width="9.109375" style="4"/>
    <col min="2303" max="2303" width="3.109375" style="4" customWidth="1"/>
    <col min="2304" max="2304" width="41.88671875" style="4" customWidth="1"/>
    <col min="2305" max="2305" width="3.5546875" style="4" customWidth="1"/>
    <col min="2306" max="2306" width="3.109375" style="4" customWidth="1"/>
    <col min="2307" max="2316" width="11.5546875" style="4" customWidth="1"/>
    <col min="2317" max="2558" width="9.109375" style="4"/>
    <col min="2559" max="2559" width="3.109375" style="4" customWidth="1"/>
    <col min="2560" max="2560" width="41.88671875" style="4" customWidth="1"/>
    <col min="2561" max="2561" width="3.5546875" style="4" customWidth="1"/>
    <col min="2562" max="2562" width="3.109375" style="4" customWidth="1"/>
    <col min="2563" max="2572" width="11.5546875" style="4" customWidth="1"/>
    <col min="2573" max="2814" width="9.109375" style="4"/>
    <col min="2815" max="2815" width="3.109375" style="4" customWidth="1"/>
    <col min="2816" max="2816" width="41.88671875" style="4" customWidth="1"/>
    <col min="2817" max="2817" width="3.5546875" style="4" customWidth="1"/>
    <col min="2818" max="2818" width="3.109375" style="4" customWidth="1"/>
    <col min="2819" max="2828" width="11.5546875" style="4" customWidth="1"/>
    <col min="2829" max="3070" width="9.109375" style="4"/>
    <col min="3071" max="3071" width="3.109375" style="4" customWidth="1"/>
    <col min="3072" max="3072" width="41.88671875" style="4" customWidth="1"/>
    <col min="3073" max="3073" width="3.5546875" style="4" customWidth="1"/>
    <col min="3074" max="3074" width="3.109375" style="4" customWidth="1"/>
    <col min="3075" max="3084" width="11.5546875" style="4" customWidth="1"/>
    <col min="3085" max="3326" width="9.109375" style="4"/>
    <col min="3327" max="3327" width="3.109375" style="4" customWidth="1"/>
    <col min="3328" max="3328" width="41.88671875" style="4" customWidth="1"/>
    <col min="3329" max="3329" width="3.5546875" style="4" customWidth="1"/>
    <col min="3330" max="3330" width="3.109375" style="4" customWidth="1"/>
    <col min="3331" max="3340" width="11.5546875" style="4" customWidth="1"/>
    <col min="3341" max="3582" width="9.109375" style="4"/>
    <col min="3583" max="3583" width="3.109375" style="4" customWidth="1"/>
    <col min="3584" max="3584" width="41.88671875" style="4" customWidth="1"/>
    <col min="3585" max="3585" width="3.5546875" style="4" customWidth="1"/>
    <col min="3586" max="3586" width="3.109375" style="4" customWidth="1"/>
    <col min="3587" max="3596" width="11.5546875" style="4" customWidth="1"/>
    <col min="3597" max="3838" width="9.109375" style="4"/>
    <col min="3839" max="3839" width="3.109375" style="4" customWidth="1"/>
    <col min="3840" max="3840" width="41.88671875" style="4" customWidth="1"/>
    <col min="3841" max="3841" width="3.5546875" style="4" customWidth="1"/>
    <col min="3842" max="3842" width="3.109375" style="4" customWidth="1"/>
    <col min="3843" max="3852" width="11.5546875" style="4" customWidth="1"/>
    <col min="3853" max="4094" width="9.109375" style="4"/>
    <col min="4095" max="4095" width="3.109375" style="4" customWidth="1"/>
    <col min="4096" max="4096" width="41.88671875" style="4" customWidth="1"/>
    <col min="4097" max="4097" width="3.5546875" style="4" customWidth="1"/>
    <col min="4098" max="4098" width="3.109375" style="4" customWidth="1"/>
    <col min="4099" max="4108" width="11.5546875" style="4" customWidth="1"/>
    <col min="4109" max="4350" width="9.109375" style="4"/>
    <col min="4351" max="4351" width="3.109375" style="4" customWidth="1"/>
    <col min="4352" max="4352" width="41.88671875" style="4" customWidth="1"/>
    <col min="4353" max="4353" width="3.5546875" style="4" customWidth="1"/>
    <col min="4354" max="4354" width="3.109375" style="4" customWidth="1"/>
    <col min="4355" max="4364" width="11.5546875" style="4" customWidth="1"/>
    <col min="4365" max="4606" width="9.109375" style="4"/>
    <col min="4607" max="4607" width="3.109375" style="4" customWidth="1"/>
    <col min="4608" max="4608" width="41.88671875" style="4" customWidth="1"/>
    <col min="4609" max="4609" width="3.5546875" style="4" customWidth="1"/>
    <col min="4610" max="4610" width="3.109375" style="4" customWidth="1"/>
    <col min="4611" max="4620" width="11.5546875" style="4" customWidth="1"/>
    <col min="4621" max="4862" width="9.109375" style="4"/>
    <col min="4863" max="4863" width="3.109375" style="4" customWidth="1"/>
    <col min="4864" max="4864" width="41.88671875" style="4" customWidth="1"/>
    <col min="4865" max="4865" width="3.5546875" style="4" customWidth="1"/>
    <col min="4866" max="4866" width="3.109375" style="4" customWidth="1"/>
    <col min="4867" max="4876" width="11.5546875" style="4" customWidth="1"/>
    <col min="4877" max="5118" width="9.109375" style="4"/>
    <col min="5119" max="5119" width="3.109375" style="4" customWidth="1"/>
    <col min="5120" max="5120" width="41.88671875" style="4" customWidth="1"/>
    <col min="5121" max="5121" width="3.5546875" style="4" customWidth="1"/>
    <col min="5122" max="5122" width="3.109375" style="4" customWidth="1"/>
    <col min="5123" max="5132" width="11.5546875" style="4" customWidth="1"/>
    <col min="5133" max="5374" width="9.109375" style="4"/>
    <col min="5375" max="5375" width="3.109375" style="4" customWidth="1"/>
    <col min="5376" max="5376" width="41.88671875" style="4" customWidth="1"/>
    <col min="5377" max="5377" width="3.5546875" style="4" customWidth="1"/>
    <col min="5378" max="5378" width="3.109375" style="4" customWidth="1"/>
    <col min="5379" max="5388" width="11.5546875" style="4" customWidth="1"/>
    <col min="5389" max="5630" width="9.109375" style="4"/>
    <col min="5631" max="5631" width="3.109375" style="4" customWidth="1"/>
    <col min="5632" max="5632" width="41.88671875" style="4" customWidth="1"/>
    <col min="5633" max="5633" width="3.5546875" style="4" customWidth="1"/>
    <col min="5634" max="5634" width="3.109375" style="4" customWidth="1"/>
    <col min="5635" max="5644" width="11.5546875" style="4" customWidth="1"/>
    <col min="5645" max="5886" width="9.109375" style="4"/>
    <col min="5887" max="5887" width="3.109375" style="4" customWidth="1"/>
    <col min="5888" max="5888" width="41.88671875" style="4" customWidth="1"/>
    <col min="5889" max="5889" width="3.5546875" style="4" customWidth="1"/>
    <col min="5890" max="5890" width="3.109375" style="4" customWidth="1"/>
    <col min="5891" max="5900" width="11.5546875" style="4" customWidth="1"/>
    <col min="5901" max="6142" width="9.109375" style="4"/>
    <col min="6143" max="6143" width="3.109375" style="4" customWidth="1"/>
    <col min="6144" max="6144" width="41.88671875" style="4" customWidth="1"/>
    <col min="6145" max="6145" width="3.5546875" style="4" customWidth="1"/>
    <col min="6146" max="6146" width="3.109375" style="4" customWidth="1"/>
    <col min="6147" max="6156" width="11.5546875" style="4" customWidth="1"/>
    <col min="6157" max="6398" width="9.109375" style="4"/>
    <col min="6399" max="6399" width="3.109375" style="4" customWidth="1"/>
    <col min="6400" max="6400" width="41.88671875" style="4" customWidth="1"/>
    <col min="6401" max="6401" width="3.5546875" style="4" customWidth="1"/>
    <col min="6402" max="6402" width="3.109375" style="4" customWidth="1"/>
    <col min="6403" max="6412" width="11.5546875" style="4" customWidth="1"/>
    <col min="6413" max="6654" width="9.109375" style="4"/>
    <col min="6655" max="6655" width="3.109375" style="4" customWidth="1"/>
    <col min="6656" max="6656" width="41.88671875" style="4" customWidth="1"/>
    <col min="6657" max="6657" width="3.5546875" style="4" customWidth="1"/>
    <col min="6658" max="6658" width="3.109375" style="4" customWidth="1"/>
    <col min="6659" max="6668" width="11.5546875" style="4" customWidth="1"/>
    <col min="6669" max="6910" width="9.109375" style="4"/>
    <col min="6911" max="6911" width="3.109375" style="4" customWidth="1"/>
    <col min="6912" max="6912" width="41.88671875" style="4" customWidth="1"/>
    <col min="6913" max="6913" width="3.5546875" style="4" customWidth="1"/>
    <col min="6914" max="6914" width="3.109375" style="4" customWidth="1"/>
    <col min="6915" max="6924" width="11.5546875" style="4" customWidth="1"/>
    <col min="6925" max="7166" width="9.109375" style="4"/>
    <col min="7167" max="7167" width="3.109375" style="4" customWidth="1"/>
    <col min="7168" max="7168" width="41.88671875" style="4" customWidth="1"/>
    <col min="7169" max="7169" width="3.5546875" style="4" customWidth="1"/>
    <col min="7170" max="7170" width="3.109375" style="4" customWidth="1"/>
    <col min="7171" max="7180" width="11.5546875" style="4" customWidth="1"/>
    <col min="7181" max="7422" width="9.109375" style="4"/>
    <col min="7423" max="7423" width="3.109375" style="4" customWidth="1"/>
    <col min="7424" max="7424" width="41.88671875" style="4" customWidth="1"/>
    <col min="7425" max="7425" width="3.5546875" style="4" customWidth="1"/>
    <col min="7426" max="7426" width="3.109375" style="4" customWidth="1"/>
    <col min="7427" max="7436" width="11.5546875" style="4" customWidth="1"/>
    <col min="7437" max="7678" width="9.109375" style="4"/>
    <col min="7679" max="7679" width="3.109375" style="4" customWidth="1"/>
    <col min="7680" max="7680" width="41.88671875" style="4" customWidth="1"/>
    <col min="7681" max="7681" width="3.5546875" style="4" customWidth="1"/>
    <col min="7682" max="7682" width="3.109375" style="4" customWidth="1"/>
    <col min="7683" max="7692" width="11.5546875" style="4" customWidth="1"/>
    <col min="7693" max="7934" width="9.109375" style="4"/>
    <col min="7935" max="7935" width="3.109375" style="4" customWidth="1"/>
    <col min="7936" max="7936" width="41.88671875" style="4" customWidth="1"/>
    <col min="7937" max="7937" width="3.5546875" style="4" customWidth="1"/>
    <col min="7938" max="7938" width="3.109375" style="4" customWidth="1"/>
    <col min="7939" max="7948" width="11.5546875" style="4" customWidth="1"/>
    <col min="7949" max="8190" width="9.109375" style="4"/>
    <col min="8191" max="8191" width="3.109375" style="4" customWidth="1"/>
    <col min="8192" max="8192" width="41.88671875" style="4" customWidth="1"/>
    <col min="8193" max="8193" width="3.5546875" style="4" customWidth="1"/>
    <col min="8194" max="8194" width="3.109375" style="4" customWidth="1"/>
    <col min="8195" max="8204" width="11.5546875" style="4" customWidth="1"/>
    <col min="8205" max="8446" width="9.109375" style="4"/>
    <col min="8447" max="8447" width="3.109375" style="4" customWidth="1"/>
    <col min="8448" max="8448" width="41.88671875" style="4" customWidth="1"/>
    <col min="8449" max="8449" width="3.5546875" style="4" customWidth="1"/>
    <col min="8450" max="8450" width="3.109375" style="4" customWidth="1"/>
    <col min="8451" max="8460" width="11.5546875" style="4" customWidth="1"/>
    <col min="8461" max="8702" width="9.109375" style="4"/>
    <col min="8703" max="8703" width="3.109375" style="4" customWidth="1"/>
    <col min="8704" max="8704" width="41.88671875" style="4" customWidth="1"/>
    <col min="8705" max="8705" width="3.5546875" style="4" customWidth="1"/>
    <col min="8706" max="8706" width="3.109375" style="4" customWidth="1"/>
    <col min="8707" max="8716" width="11.5546875" style="4" customWidth="1"/>
    <col min="8717" max="8958" width="9.109375" style="4"/>
    <col min="8959" max="8959" width="3.109375" style="4" customWidth="1"/>
    <col min="8960" max="8960" width="41.88671875" style="4" customWidth="1"/>
    <col min="8961" max="8961" width="3.5546875" style="4" customWidth="1"/>
    <col min="8962" max="8962" width="3.109375" style="4" customWidth="1"/>
    <col min="8963" max="8972" width="11.5546875" style="4" customWidth="1"/>
    <col min="8973" max="9214" width="9.109375" style="4"/>
    <col min="9215" max="9215" width="3.109375" style="4" customWidth="1"/>
    <col min="9216" max="9216" width="41.88671875" style="4" customWidth="1"/>
    <col min="9217" max="9217" width="3.5546875" style="4" customWidth="1"/>
    <col min="9218" max="9218" width="3.109375" style="4" customWidth="1"/>
    <col min="9219" max="9228" width="11.5546875" style="4" customWidth="1"/>
    <col min="9229" max="9470" width="9.109375" style="4"/>
    <col min="9471" max="9471" width="3.109375" style="4" customWidth="1"/>
    <col min="9472" max="9472" width="41.88671875" style="4" customWidth="1"/>
    <col min="9473" max="9473" width="3.5546875" style="4" customWidth="1"/>
    <col min="9474" max="9474" width="3.109375" style="4" customWidth="1"/>
    <col min="9475" max="9484" width="11.5546875" style="4" customWidth="1"/>
    <col min="9485" max="9726" width="9.109375" style="4"/>
    <col min="9727" max="9727" width="3.109375" style="4" customWidth="1"/>
    <col min="9728" max="9728" width="41.88671875" style="4" customWidth="1"/>
    <col min="9729" max="9729" width="3.5546875" style="4" customWidth="1"/>
    <col min="9730" max="9730" width="3.109375" style="4" customWidth="1"/>
    <col min="9731" max="9740" width="11.5546875" style="4" customWidth="1"/>
    <col min="9741" max="9982" width="9.109375" style="4"/>
    <col min="9983" max="9983" width="3.109375" style="4" customWidth="1"/>
    <col min="9984" max="9984" width="41.88671875" style="4" customWidth="1"/>
    <col min="9985" max="9985" width="3.5546875" style="4" customWidth="1"/>
    <col min="9986" max="9986" width="3.109375" style="4" customWidth="1"/>
    <col min="9987" max="9996" width="11.5546875" style="4" customWidth="1"/>
    <col min="9997" max="10238" width="9.109375" style="4"/>
    <col min="10239" max="10239" width="3.109375" style="4" customWidth="1"/>
    <col min="10240" max="10240" width="41.88671875" style="4" customWidth="1"/>
    <col min="10241" max="10241" width="3.5546875" style="4" customWidth="1"/>
    <col min="10242" max="10242" width="3.109375" style="4" customWidth="1"/>
    <col min="10243" max="10252" width="11.5546875" style="4" customWidth="1"/>
    <col min="10253" max="10494" width="9.109375" style="4"/>
    <col min="10495" max="10495" width="3.109375" style="4" customWidth="1"/>
    <col min="10496" max="10496" width="41.88671875" style="4" customWidth="1"/>
    <col min="10497" max="10497" width="3.5546875" style="4" customWidth="1"/>
    <col min="10498" max="10498" width="3.109375" style="4" customWidth="1"/>
    <col min="10499" max="10508" width="11.5546875" style="4" customWidth="1"/>
    <col min="10509" max="10750" width="9.109375" style="4"/>
    <col min="10751" max="10751" width="3.109375" style="4" customWidth="1"/>
    <col min="10752" max="10752" width="41.88671875" style="4" customWidth="1"/>
    <col min="10753" max="10753" width="3.5546875" style="4" customWidth="1"/>
    <col min="10754" max="10754" width="3.109375" style="4" customWidth="1"/>
    <col min="10755" max="10764" width="11.5546875" style="4" customWidth="1"/>
    <col min="10765" max="11006" width="9.109375" style="4"/>
    <col min="11007" max="11007" width="3.109375" style="4" customWidth="1"/>
    <col min="11008" max="11008" width="41.88671875" style="4" customWidth="1"/>
    <col min="11009" max="11009" width="3.5546875" style="4" customWidth="1"/>
    <col min="11010" max="11010" width="3.109375" style="4" customWidth="1"/>
    <col min="11011" max="11020" width="11.5546875" style="4" customWidth="1"/>
    <col min="11021" max="11262" width="9.109375" style="4"/>
    <col min="11263" max="11263" width="3.109375" style="4" customWidth="1"/>
    <col min="11264" max="11264" width="41.88671875" style="4" customWidth="1"/>
    <col min="11265" max="11265" width="3.5546875" style="4" customWidth="1"/>
    <col min="11266" max="11266" width="3.109375" style="4" customWidth="1"/>
    <col min="11267" max="11276" width="11.5546875" style="4" customWidth="1"/>
    <col min="11277" max="11518" width="9.109375" style="4"/>
    <col min="11519" max="11519" width="3.109375" style="4" customWidth="1"/>
    <col min="11520" max="11520" width="41.88671875" style="4" customWidth="1"/>
    <col min="11521" max="11521" width="3.5546875" style="4" customWidth="1"/>
    <col min="11522" max="11522" width="3.109375" style="4" customWidth="1"/>
    <col min="11523" max="11532" width="11.5546875" style="4" customWidth="1"/>
    <col min="11533" max="11774" width="9.109375" style="4"/>
    <col min="11775" max="11775" width="3.109375" style="4" customWidth="1"/>
    <col min="11776" max="11776" width="41.88671875" style="4" customWidth="1"/>
    <col min="11777" max="11777" width="3.5546875" style="4" customWidth="1"/>
    <col min="11778" max="11778" width="3.109375" style="4" customWidth="1"/>
    <col min="11779" max="11788" width="11.5546875" style="4" customWidth="1"/>
    <col min="11789" max="12030" width="9.109375" style="4"/>
    <col min="12031" max="12031" width="3.109375" style="4" customWidth="1"/>
    <col min="12032" max="12032" width="41.88671875" style="4" customWidth="1"/>
    <col min="12033" max="12033" width="3.5546875" style="4" customWidth="1"/>
    <col min="12034" max="12034" width="3.109375" style="4" customWidth="1"/>
    <col min="12035" max="12044" width="11.5546875" style="4" customWidth="1"/>
    <col min="12045" max="12286" width="9.109375" style="4"/>
    <col min="12287" max="12287" width="3.109375" style="4" customWidth="1"/>
    <col min="12288" max="12288" width="41.88671875" style="4" customWidth="1"/>
    <col min="12289" max="12289" width="3.5546875" style="4" customWidth="1"/>
    <col min="12290" max="12290" width="3.109375" style="4" customWidth="1"/>
    <col min="12291" max="12300" width="11.5546875" style="4" customWidth="1"/>
    <col min="12301" max="12542" width="9.109375" style="4"/>
    <col min="12543" max="12543" width="3.109375" style="4" customWidth="1"/>
    <col min="12544" max="12544" width="41.88671875" style="4" customWidth="1"/>
    <col min="12545" max="12545" width="3.5546875" style="4" customWidth="1"/>
    <col min="12546" max="12546" width="3.109375" style="4" customWidth="1"/>
    <col min="12547" max="12556" width="11.5546875" style="4" customWidth="1"/>
    <col min="12557" max="12798" width="9.109375" style="4"/>
    <col min="12799" max="12799" width="3.109375" style="4" customWidth="1"/>
    <col min="12800" max="12800" width="41.88671875" style="4" customWidth="1"/>
    <col min="12801" max="12801" width="3.5546875" style="4" customWidth="1"/>
    <col min="12802" max="12802" width="3.109375" style="4" customWidth="1"/>
    <col min="12803" max="12812" width="11.5546875" style="4" customWidth="1"/>
    <col min="12813" max="13054" width="9.109375" style="4"/>
    <col min="13055" max="13055" width="3.109375" style="4" customWidth="1"/>
    <col min="13056" max="13056" width="41.88671875" style="4" customWidth="1"/>
    <col min="13057" max="13057" width="3.5546875" style="4" customWidth="1"/>
    <col min="13058" max="13058" width="3.109375" style="4" customWidth="1"/>
    <col min="13059" max="13068" width="11.5546875" style="4" customWidth="1"/>
    <col min="13069" max="13310" width="9.109375" style="4"/>
    <col min="13311" max="13311" width="3.109375" style="4" customWidth="1"/>
    <col min="13312" max="13312" width="41.88671875" style="4" customWidth="1"/>
    <col min="13313" max="13313" width="3.5546875" style="4" customWidth="1"/>
    <col min="13314" max="13314" width="3.109375" style="4" customWidth="1"/>
    <col min="13315" max="13324" width="11.5546875" style="4" customWidth="1"/>
    <col min="13325" max="13566" width="9.109375" style="4"/>
    <col min="13567" max="13567" width="3.109375" style="4" customWidth="1"/>
    <col min="13568" max="13568" width="41.88671875" style="4" customWidth="1"/>
    <col min="13569" max="13569" width="3.5546875" style="4" customWidth="1"/>
    <col min="13570" max="13570" width="3.109375" style="4" customWidth="1"/>
    <col min="13571" max="13580" width="11.5546875" style="4" customWidth="1"/>
    <col min="13581" max="13822" width="9.109375" style="4"/>
    <col min="13823" max="13823" width="3.109375" style="4" customWidth="1"/>
    <col min="13824" max="13824" width="41.88671875" style="4" customWidth="1"/>
    <col min="13825" max="13825" width="3.5546875" style="4" customWidth="1"/>
    <col min="13826" max="13826" width="3.109375" style="4" customWidth="1"/>
    <col min="13827" max="13836" width="11.5546875" style="4" customWidth="1"/>
    <col min="13837" max="14078" width="9.109375" style="4"/>
    <col min="14079" max="14079" width="3.109375" style="4" customWidth="1"/>
    <col min="14080" max="14080" width="41.88671875" style="4" customWidth="1"/>
    <col min="14081" max="14081" width="3.5546875" style="4" customWidth="1"/>
    <col min="14082" max="14082" width="3.109375" style="4" customWidth="1"/>
    <col min="14083" max="14092" width="11.5546875" style="4" customWidth="1"/>
    <col min="14093" max="14334" width="9.109375" style="4"/>
    <col min="14335" max="14335" width="3.109375" style="4" customWidth="1"/>
    <col min="14336" max="14336" width="41.88671875" style="4" customWidth="1"/>
    <col min="14337" max="14337" width="3.5546875" style="4" customWidth="1"/>
    <col min="14338" max="14338" width="3.109375" style="4" customWidth="1"/>
    <col min="14339" max="14348" width="11.5546875" style="4" customWidth="1"/>
    <col min="14349" max="14590" width="9.109375" style="4"/>
    <col min="14591" max="14591" width="3.109375" style="4" customWidth="1"/>
    <col min="14592" max="14592" width="41.88671875" style="4" customWidth="1"/>
    <col min="14593" max="14593" width="3.5546875" style="4" customWidth="1"/>
    <col min="14594" max="14594" width="3.109375" style="4" customWidth="1"/>
    <col min="14595" max="14604" width="11.5546875" style="4" customWidth="1"/>
    <col min="14605" max="14846" width="9.109375" style="4"/>
    <col min="14847" max="14847" width="3.109375" style="4" customWidth="1"/>
    <col min="14848" max="14848" width="41.88671875" style="4" customWidth="1"/>
    <col min="14849" max="14849" width="3.5546875" style="4" customWidth="1"/>
    <col min="14850" max="14850" width="3.109375" style="4" customWidth="1"/>
    <col min="14851" max="14860" width="11.5546875" style="4" customWidth="1"/>
    <col min="14861" max="15102" width="9.109375" style="4"/>
    <col min="15103" max="15103" width="3.109375" style="4" customWidth="1"/>
    <col min="15104" max="15104" width="41.88671875" style="4" customWidth="1"/>
    <col min="15105" max="15105" width="3.5546875" style="4" customWidth="1"/>
    <col min="15106" max="15106" width="3.109375" style="4" customWidth="1"/>
    <col min="15107" max="15116" width="11.5546875" style="4" customWidth="1"/>
    <col min="15117" max="15358" width="9.109375" style="4"/>
    <col min="15359" max="15359" width="3.109375" style="4" customWidth="1"/>
    <col min="15360" max="15360" width="41.88671875" style="4" customWidth="1"/>
    <col min="15361" max="15361" width="3.5546875" style="4" customWidth="1"/>
    <col min="15362" max="15362" width="3.109375" style="4" customWidth="1"/>
    <col min="15363" max="15372" width="11.5546875" style="4" customWidth="1"/>
    <col min="15373" max="15614" width="9.109375" style="4"/>
    <col min="15615" max="15615" width="3.109375" style="4" customWidth="1"/>
    <col min="15616" max="15616" width="41.88671875" style="4" customWidth="1"/>
    <col min="15617" max="15617" width="3.5546875" style="4" customWidth="1"/>
    <col min="15618" max="15618" width="3.109375" style="4" customWidth="1"/>
    <col min="15619" max="15628" width="11.5546875" style="4" customWidth="1"/>
    <col min="15629" max="15870" width="9.109375" style="4"/>
    <col min="15871" max="15871" width="3.109375" style="4" customWidth="1"/>
    <col min="15872" max="15872" width="41.88671875" style="4" customWidth="1"/>
    <col min="15873" max="15873" width="3.5546875" style="4" customWidth="1"/>
    <col min="15874" max="15874" width="3.109375" style="4" customWidth="1"/>
    <col min="15875" max="15884" width="11.5546875" style="4" customWidth="1"/>
    <col min="15885" max="16126" width="9.109375" style="4"/>
    <col min="16127" max="16127" width="3.109375" style="4" customWidth="1"/>
    <col min="16128" max="16128" width="41.88671875" style="4" customWidth="1"/>
    <col min="16129" max="16129" width="3.5546875" style="4" customWidth="1"/>
    <col min="16130" max="16130" width="3.109375" style="4" customWidth="1"/>
    <col min="16131" max="16140" width="11.5546875" style="4" customWidth="1"/>
    <col min="16141" max="16384" width="9.109375" style="4"/>
  </cols>
  <sheetData>
    <row r="1" spans="1:14" x14ac:dyDescent="0.3">
      <c r="A1" s="43" t="s">
        <v>0</v>
      </c>
      <c r="E1" s="53" t="s">
        <v>142</v>
      </c>
      <c r="F1" s="53"/>
      <c r="G1" s="53"/>
      <c r="H1" s="54" t="s">
        <v>143</v>
      </c>
      <c r="I1" s="55"/>
      <c r="J1" s="55"/>
      <c r="K1" s="55"/>
      <c r="L1" s="55"/>
    </row>
    <row r="2" spans="1:14" s="2" customFormat="1" x14ac:dyDescent="0.3">
      <c r="A2" s="1"/>
      <c r="E2" s="70">
        <f>PnL!E2</f>
        <v>2016</v>
      </c>
      <c r="F2" s="70">
        <f>PnL!F2</f>
        <v>2017</v>
      </c>
      <c r="G2" s="70">
        <f>PnL!G2</f>
        <v>2018</v>
      </c>
      <c r="H2" s="70">
        <f>PnL!H2</f>
        <v>2019</v>
      </c>
      <c r="I2" s="70">
        <f>PnL!I2</f>
        <v>2020</v>
      </c>
      <c r="J2" s="70">
        <f>PnL!J2</f>
        <v>2021</v>
      </c>
      <c r="K2" s="70">
        <f>PnL!K2</f>
        <v>2022</v>
      </c>
      <c r="L2" s="70">
        <f>PnL!L2</f>
        <v>2023</v>
      </c>
    </row>
    <row r="4" spans="1:14" x14ac:dyDescent="0.3">
      <c r="A4" s="5" t="s">
        <v>124</v>
      </c>
    </row>
    <row r="5" spans="1:14" x14ac:dyDescent="0.3">
      <c r="B5" s="4" t="s">
        <v>12</v>
      </c>
      <c r="E5" s="31"/>
      <c r="F5" s="31">
        <f>PnL!F22</f>
        <v>11.749999999999972</v>
      </c>
      <c r="G5" s="31">
        <f>PnL!G22</f>
        <v>41.300000000000111</v>
      </c>
      <c r="H5" s="31">
        <f ca="1">PnL!H22</f>
        <v>95.570034706871013</v>
      </c>
      <c r="I5" s="31">
        <f ca="1">PnL!I22</f>
        <v>60.372946775859049</v>
      </c>
      <c r="J5" s="31">
        <f ca="1">PnL!J22</f>
        <v>68.306777908858749</v>
      </c>
      <c r="K5" s="31">
        <f ca="1">PnL!K22</f>
        <v>115.72086090819289</v>
      </c>
      <c r="L5" s="31">
        <f ca="1">PnL!L22</f>
        <v>169.03336714208132</v>
      </c>
      <c r="N5" s="60" t="s">
        <v>154</v>
      </c>
    </row>
    <row r="6" spans="1:14" x14ac:dyDescent="0.3">
      <c r="B6" s="4" t="s">
        <v>125</v>
      </c>
      <c r="F6" s="4">
        <f>PnL!F17</f>
        <v>20</v>
      </c>
      <c r="G6" s="4">
        <f>PnL!G17</f>
        <v>40</v>
      </c>
      <c r="H6" s="4">
        <f>PnL!H17</f>
        <v>40</v>
      </c>
      <c r="I6" s="4">
        <f>PnL!I17</f>
        <v>40</v>
      </c>
      <c r="J6" s="4">
        <f>PnL!J17</f>
        <v>40</v>
      </c>
      <c r="K6" s="4">
        <f>PnL!K17</f>
        <v>40</v>
      </c>
      <c r="L6" s="4">
        <f>PnL!L17</f>
        <v>40</v>
      </c>
      <c r="N6" s="60" t="s">
        <v>154</v>
      </c>
    </row>
    <row r="7" spans="1:14" x14ac:dyDescent="0.3">
      <c r="B7" s="4" t="s">
        <v>126</v>
      </c>
      <c r="F7" s="31">
        <f>PnL!F19</f>
        <v>19.5</v>
      </c>
      <c r="G7" s="31">
        <f>PnL!G19</f>
        <v>28.5</v>
      </c>
      <c r="H7" s="31">
        <f ca="1">PnL!H19</f>
        <v>16.721432888140463</v>
      </c>
      <c r="I7" s="31">
        <f ca="1">PnL!I19</f>
        <v>8.9156565846568974</v>
      </c>
      <c r="J7" s="31">
        <f ca="1">PnL!J19</f>
        <v>1.0821347048305903</v>
      </c>
      <c r="K7" s="31">
        <f ca="1">PnL!K19</f>
        <v>-9.2096266356458614</v>
      </c>
      <c r="L7" s="31">
        <f ca="1">PnL!L19</f>
        <v>-22.636351380774265</v>
      </c>
      <c r="N7" s="60" t="s">
        <v>154</v>
      </c>
    </row>
    <row r="9" spans="1:14" x14ac:dyDescent="0.3">
      <c r="B9" s="5" t="s">
        <v>127</v>
      </c>
    </row>
    <row r="10" spans="1:14" x14ac:dyDescent="0.3">
      <c r="B10" s="24" t="str">
        <f>"Add: "&amp;BS!B9</f>
        <v>Add: Accounts payable</v>
      </c>
      <c r="E10" s="31"/>
      <c r="F10" s="31">
        <f>BS!F9-BS!E9</f>
        <v>72.67</v>
      </c>
      <c r="G10" s="31">
        <f>BS!G9-BS!F9</f>
        <v>49.58</v>
      </c>
      <c r="H10" s="31">
        <f>BS!H9-BS!G9</f>
        <v>-54.959178272500168</v>
      </c>
      <c r="I10" s="31">
        <f>BS!I9-BS!H9</f>
        <v>10.165162993269689</v>
      </c>
      <c r="J10" s="31">
        <f>BS!J9-BS!I9</f>
        <v>11.018846380452629</v>
      </c>
      <c r="K10" s="31">
        <f>BS!K9-BS!J9</f>
        <v>11.944223190164536</v>
      </c>
      <c r="L10" s="31">
        <f>BS!L9-BS!K9</f>
        <v>12.947314327709506</v>
      </c>
      <c r="N10" s="60" t="s">
        <v>155</v>
      </c>
    </row>
    <row r="11" spans="1:14" x14ac:dyDescent="0.3">
      <c r="B11" s="24" t="str">
        <f>"Add: "&amp;BS!B10</f>
        <v>Add: Accrued liabilities</v>
      </c>
      <c r="E11" s="31"/>
      <c r="F11" s="31">
        <f>BS!F10-BS!E10</f>
        <v>37.68</v>
      </c>
      <c r="G11" s="31">
        <f>BS!G10-BS!F10</f>
        <v>46.61</v>
      </c>
      <c r="H11" s="31">
        <f>BS!H10-BS!G10</f>
        <v>-46.278318800805664</v>
      </c>
      <c r="I11" s="31">
        <f>BS!I10-BS!H10</f>
        <v>7.282997685068608</v>
      </c>
      <c r="J11" s="31">
        <f>BS!J10-BS!I10</f>
        <v>7.8946331440131559</v>
      </c>
      <c r="K11" s="31">
        <f>BS!K10-BS!J10</f>
        <v>8.5576345309471691</v>
      </c>
      <c r="L11" s="31">
        <f>BS!L10-BS!K10</f>
        <v>9.2763156221888607</v>
      </c>
      <c r="N11" s="60" t="s">
        <v>155</v>
      </c>
    </row>
    <row r="12" spans="1:14" x14ac:dyDescent="0.3">
      <c r="B12" s="24" t="str">
        <f>"Add: "&amp;BS!B11</f>
        <v>Add: Deferred revenue</v>
      </c>
      <c r="E12" s="31"/>
      <c r="F12" s="31">
        <f>BS!F11-BS!E11</f>
        <v>61.04</v>
      </c>
      <c r="G12" s="31">
        <f>BS!G11-BS!F11</f>
        <v>27.22</v>
      </c>
      <c r="H12" s="31">
        <f>BS!H11-BS!G11</f>
        <v>-10.769524337401435</v>
      </c>
      <c r="I12" s="31">
        <f>BS!I11-BS!H11</f>
        <v>-6.7045256696075199</v>
      </c>
      <c r="J12" s="31">
        <f>BS!J11-BS!I11</f>
        <v>6.5167838467705934</v>
      </c>
      <c r="K12" s="31">
        <f>BS!K11-BS!J11</f>
        <v>18.269375748295687</v>
      </c>
      <c r="L12" s="31">
        <f>BS!L11-BS!K11</f>
        <v>21.783767510398945</v>
      </c>
      <c r="N12" s="60" t="s">
        <v>155</v>
      </c>
    </row>
    <row r="13" spans="1:14" x14ac:dyDescent="0.3">
      <c r="B13" s="24" t="str">
        <f>"Less: "&amp;BS!B30</f>
        <v>Less: Accounts receivable</v>
      </c>
      <c r="E13" s="31"/>
      <c r="F13" s="31">
        <f>BS!F30-BS!E30</f>
        <v>42.47</v>
      </c>
      <c r="G13" s="31">
        <f>BS!G30-BS!F30</f>
        <v>102.33</v>
      </c>
      <c r="H13" s="31">
        <f>BS!H30-BS!G30</f>
        <v>-53.866447329994742</v>
      </c>
      <c r="I13" s="31">
        <f>BS!I30-BS!H30</f>
        <v>-11.00800211755049</v>
      </c>
      <c r="J13" s="31">
        <f>BS!J30-BS!I30</f>
        <v>10.69975325921439</v>
      </c>
      <c r="K13" s="31">
        <f>BS!K30-BS!J30</f>
        <v>29.996055923123521</v>
      </c>
      <c r="L13" s="31">
        <f>BS!L30-BS!K30</f>
        <v>35.766252632863285</v>
      </c>
      <c r="N13" s="60" t="s">
        <v>155</v>
      </c>
    </row>
    <row r="14" spans="1:14" x14ac:dyDescent="0.3">
      <c r="B14" s="24" t="str">
        <f>"Less: "&amp;BS!B31</f>
        <v>Less: Inventories,net</v>
      </c>
      <c r="E14" s="31"/>
      <c r="F14" s="31">
        <f>BS!F31-BS!E31</f>
        <v>51.58</v>
      </c>
      <c r="G14" s="31">
        <f>BS!G31-BS!F31</f>
        <v>63.010000000000005</v>
      </c>
      <c r="H14" s="31">
        <f>BS!H31-BS!G31</f>
        <v>-111.15665790483376</v>
      </c>
      <c r="I14" s="31">
        <f>BS!I31-BS!H31</f>
        <v>5.3616455107475147</v>
      </c>
      <c r="J14" s="31">
        <f>BS!J31-BS!I31</f>
        <v>5.8119233571056839</v>
      </c>
      <c r="K14" s="31">
        <f>BS!K31-BS!J31</f>
        <v>6.30001611280737</v>
      </c>
      <c r="L14" s="31">
        <f>BS!L31-BS!K31</f>
        <v>6.8290995222961612</v>
      </c>
      <c r="N14" s="60" t="s">
        <v>155</v>
      </c>
    </row>
    <row r="15" spans="1:14" x14ac:dyDescent="0.3">
      <c r="B15" s="40" t="str">
        <f>"Less: "&amp;BS!B32</f>
        <v>Less: Prepaid Expenses and other current assets</v>
      </c>
      <c r="C15" s="2"/>
      <c r="D15" s="2"/>
      <c r="E15" s="113"/>
      <c r="F15" s="113">
        <f>BS!F32-BS!E32</f>
        <v>0.25</v>
      </c>
      <c r="G15" s="113">
        <f>BS!G32-BS!F32</f>
        <v>3.0000000000001137E-2</v>
      </c>
      <c r="H15" s="113">
        <f>BS!H32-BS!G32</f>
        <v>-3.0000000000001137E-2</v>
      </c>
      <c r="I15" s="113">
        <f>BS!I32-BS!H32</f>
        <v>0</v>
      </c>
      <c r="J15" s="113">
        <f>BS!J32-BS!I32</f>
        <v>0</v>
      </c>
      <c r="K15" s="113">
        <f>BS!K32-BS!J32</f>
        <v>0</v>
      </c>
      <c r="L15" s="113">
        <f>BS!L32-BS!K32</f>
        <v>0</v>
      </c>
      <c r="N15" s="60" t="s">
        <v>155</v>
      </c>
    </row>
    <row r="16" spans="1:14" s="5" customFormat="1" ht="13.2" x14ac:dyDescent="0.25">
      <c r="B16" s="41" t="s">
        <v>127</v>
      </c>
      <c r="E16" s="114"/>
      <c r="F16" s="114">
        <f t="shared" ref="F16:L16" si="0">F10+F11+F12-F13-F14-F15</f>
        <v>77.089999999999989</v>
      </c>
      <c r="G16" s="114">
        <f t="shared" si="0"/>
        <v>-41.960000000000008</v>
      </c>
      <c r="H16" s="114">
        <f t="shared" si="0"/>
        <v>53.04608382412124</v>
      </c>
      <c r="I16" s="114">
        <f t="shared" si="0"/>
        <v>16.389991615533752</v>
      </c>
      <c r="J16" s="114">
        <f t="shared" si="0"/>
        <v>8.9185867549163049</v>
      </c>
      <c r="K16" s="114">
        <f t="shared" si="0"/>
        <v>2.4751614334765009</v>
      </c>
      <c r="L16" s="114">
        <f t="shared" si="0"/>
        <v>1.4120453051378661</v>
      </c>
    </row>
    <row r="18" spans="1:14" s="5" customFormat="1" ht="13.2" x14ac:dyDescent="0.25">
      <c r="B18" s="5" t="s">
        <v>128</v>
      </c>
      <c r="E18" s="114"/>
      <c r="F18" s="95">
        <f>F5+F6+F7+F16</f>
        <v>128.33999999999997</v>
      </c>
      <c r="G18" s="95">
        <f t="shared" ref="G18:L18" si="1">G5+G6+G7+G16</f>
        <v>67.840000000000103</v>
      </c>
      <c r="H18" s="95">
        <f t="shared" ca="1" si="1"/>
        <v>205.33755141913272</v>
      </c>
      <c r="I18" s="95">
        <f t="shared" ca="1" si="1"/>
        <v>125.67859497604971</v>
      </c>
      <c r="J18" s="95">
        <f t="shared" ca="1" si="1"/>
        <v>118.30749936860565</v>
      </c>
      <c r="K18" s="95">
        <f t="shared" ca="1" si="1"/>
        <v>148.98639570602353</v>
      </c>
      <c r="L18" s="95">
        <f t="shared" ca="1" si="1"/>
        <v>187.80906106644491</v>
      </c>
    </row>
    <row r="20" spans="1:14" x14ac:dyDescent="0.3">
      <c r="A20" s="5" t="s">
        <v>129</v>
      </c>
    </row>
    <row r="21" spans="1:14" x14ac:dyDescent="0.3">
      <c r="B21" s="4" t="s">
        <v>130</v>
      </c>
      <c r="E21" s="117"/>
      <c r="F21" s="117">
        <f>Assumptions!F43/10^6</f>
        <v>0</v>
      </c>
      <c r="G21" s="117">
        <f>Assumptions!G43/10^6</f>
        <v>200</v>
      </c>
      <c r="H21" s="117">
        <f>Assumptions!H43/10^6</f>
        <v>0</v>
      </c>
      <c r="I21" s="117">
        <f>Assumptions!I43/10^6</f>
        <v>0</v>
      </c>
      <c r="J21" s="117">
        <f>Assumptions!J43/10^6</f>
        <v>0</v>
      </c>
      <c r="K21" s="117">
        <f>Assumptions!K43/10^6</f>
        <v>0</v>
      </c>
      <c r="L21" s="117">
        <f>Assumptions!L43/10^6</f>
        <v>0</v>
      </c>
      <c r="N21" s="60" t="s">
        <v>145</v>
      </c>
    </row>
    <row r="22" spans="1:14" x14ac:dyDescent="0.3">
      <c r="B22" s="4" t="s">
        <v>141</v>
      </c>
      <c r="E22" s="117"/>
      <c r="F22" s="117">
        <f>Assumptions!F45</f>
        <v>0</v>
      </c>
      <c r="G22" s="117">
        <f>Assumptions!G45</f>
        <v>0</v>
      </c>
      <c r="H22" s="117">
        <f>Assumptions!H45</f>
        <v>0</v>
      </c>
      <c r="I22" s="117">
        <f>Assumptions!I45</f>
        <v>0</v>
      </c>
      <c r="J22" s="117">
        <f>Assumptions!J45</f>
        <v>0</v>
      </c>
      <c r="K22" s="117">
        <f>Assumptions!K45</f>
        <v>0</v>
      </c>
      <c r="L22" s="117">
        <f>Assumptions!L45</f>
        <v>0</v>
      </c>
      <c r="N22" s="60" t="s">
        <v>145</v>
      </c>
    </row>
    <row r="23" spans="1:14" x14ac:dyDescent="0.3">
      <c r="B23" s="40" t="s">
        <v>131</v>
      </c>
      <c r="C23" s="2"/>
      <c r="D23" s="2"/>
      <c r="E23" s="115"/>
      <c r="F23" s="115"/>
      <c r="G23" s="115"/>
      <c r="H23" s="115"/>
      <c r="I23" s="115"/>
      <c r="J23" s="115"/>
      <c r="K23" s="115"/>
      <c r="L23" s="115"/>
    </row>
    <row r="24" spans="1:14" s="5" customFormat="1" ht="13.2" x14ac:dyDescent="0.25">
      <c r="B24" s="5" t="s">
        <v>129</v>
      </c>
      <c r="E24" s="116"/>
      <c r="F24" s="116">
        <f t="shared" ref="F24:L24" si="2">-F21</f>
        <v>0</v>
      </c>
      <c r="G24" s="116">
        <f t="shared" si="2"/>
        <v>-200</v>
      </c>
      <c r="H24" s="116">
        <f t="shared" si="2"/>
        <v>0</v>
      </c>
      <c r="I24" s="116">
        <f t="shared" si="2"/>
        <v>0</v>
      </c>
      <c r="J24" s="116">
        <f t="shared" si="2"/>
        <v>0</v>
      </c>
      <c r="K24" s="116">
        <f t="shared" si="2"/>
        <v>0</v>
      </c>
      <c r="L24" s="116">
        <f t="shared" si="2"/>
        <v>0</v>
      </c>
      <c r="M24" s="116"/>
    </row>
    <row r="26" spans="1:14" x14ac:dyDescent="0.3">
      <c r="A26" s="5" t="s">
        <v>132</v>
      </c>
    </row>
    <row r="27" spans="1:14" x14ac:dyDescent="0.3">
      <c r="B27" s="4" t="s">
        <v>121</v>
      </c>
      <c r="F27" s="4">
        <f>'Equity Sch_Other'!F6</f>
        <v>0</v>
      </c>
      <c r="G27" s="4">
        <f>'Equity Sch_Other'!G6</f>
        <v>0</v>
      </c>
      <c r="H27" s="4">
        <f>'Equity Sch_Other'!H6</f>
        <v>0</v>
      </c>
      <c r="I27" s="4">
        <f>'Equity Sch_Other'!I6</f>
        <v>0</v>
      </c>
      <c r="J27" s="4">
        <f>'Equity Sch_Other'!J6</f>
        <v>0</v>
      </c>
      <c r="K27" s="4">
        <f>'Equity Sch_Other'!K6</f>
        <v>0</v>
      </c>
      <c r="L27" s="4">
        <f>'Equity Sch_Other'!L6</f>
        <v>0</v>
      </c>
      <c r="N27" s="60" t="s">
        <v>150</v>
      </c>
    </row>
    <row r="28" spans="1:14" x14ac:dyDescent="0.3">
      <c r="B28" s="4" t="s">
        <v>133</v>
      </c>
      <c r="F28" s="4">
        <f>'Debt Schedule'!F16</f>
        <v>0</v>
      </c>
      <c r="G28" s="4">
        <f>'Debt Schedule'!G16</f>
        <v>0</v>
      </c>
      <c r="H28" s="4">
        <f>'Debt Schedule'!H16</f>
        <v>0</v>
      </c>
      <c r="I28" s="4">
        <f>'Debt Schedule'!I16</f>
        <v>0</v>
      </c>
      <c r="J28" s="4">
        <f>'Debt Schedule'!J16</f>
        <v>0</v>
      </c>
      <c r="K28" s="4">
        <f>'Debt Schedule'!K16</f>
        <v>0</v>
      </c>
      <c r="L28" s="4">
        <f>'Debt Schedule'!L16</f>
        <v>0</v>
      </c>
      <c r="N28" s="60" t="s">
        <v>146</v>
      </c>
    </row>
    <row r="29" spans="1:14" x14ac:dyDescent="0.3">
      <c r="B29" s="4" t="s">
        <v>134</v>
      </c>
      <c r="F29" s="4">
        <f>'Debt Schedule'!F6</f>
        <v>0</v>
      </c>
      <c r="G29" s="4">
        <f>'Debt Schedule'!G6</f>
        <v>200</v>
      </c>
      <c r="H29" s="4">
        <f>'Debt Schedule'!H6</f>
        <v>0</v>
      </c>
      <c r="I29" s="4">
        <f>'Debt Schedule'!I6</f>
        <v>0</v>
      </c>
      <c r="J29" s="4">
        <f>'Debt Schedule'!J6</f>
        <v>0</v>
      </c>
      <c r="K29" s="4">
        <f>'Debt Schedule'!K6</f>
        <v>0</v>
      </c>
      <c r="L29" s="4">
        <f>'Debt Schedule'!L6</f>
        <v>0</v>
      </c>
      <c r="N29" s="60" t="s">
        <v>146</v>
      </c>
    </row>
    <row r="30" spans="1:14" x14ac:dyDescent="0.3">
      <c r="B30" s="4" t="s">
        <v>135</v>
      </c>
      <c r="F30" s="4">
        <f>'Debt Schedule'!F17</f>
        <v>0</v>
      </c>
      <c r="G30" s="4">
        <f>'Debt Schedule'!G17</f>
        <v>0</v>
      </c>
      <c r="H30" s="4">
        <f>'Debt Schedule'!H17</f>
        <v>0</v>
      </c>
      <c r="I30" s="4">
        <f>'Debt Schedule'!I17</f>
        <v>0</v>
      </c>
      <c r="J30" s="4">
        <f>'Debt Schedule'!J17</f>
        <v>0</v>
      </c>
      <c r="K30" s="4">
        <f>'Debt Schedule'!K17</f>
        <v>0</v>
      </c>
      <c r="L30" s="4">
        <f>'Debt Schedule'!L17</f>
        <v>0</v>
      </c>
      <c r="N30" s="60" t="s">
        <v>146</v>
      </c>
    </row>
    <row r="31" spans="1:14" x14ac:dyDescent="0.3">
      <c r="B31" s="4" t="s">
        <v>136</v>
      </c>
      <c r="F31" s="4">
        <f>'Debt Schedule'!F7</f>
        <v>10</v>
      </c>
      <c r="G31" s="4">
        <f>'Debt Schedule'!G7</f>
        <v>10</v>
      </c>
      <c r="H31" s="4">
        <f>'Debt Schedule'!H7</f>
        <v>20</v>
      </c>
      <c r="I31" s="4">
        <f>'Debt Schedule'!I7</f>
        <v>20</v>
      </c>
      <c r="J31" s="4">
        <f>'Debt Schedule'!J7</f>
        <v>20</v>
      </c>
      <c r="K31" s="4">
        <f>'Debt Schedule'!K7</f>
        <v>20</v>
      </c>
      <c r="L31" s="4">
        <f>'Debt Schedule'!L7</f>
        <v>20</v>
      </c>
      <c r="N31" s="60" t="s">
        <v>146</v>
      </c>
    </row>
    <row r="32" spans="1:14" x14ac:dyDescent="0.3">
      <c r="B32" s="4" t="s">
        <v>123</v>
      </c>
      <c r="F32" s="4">
        <f>'Equity Sch_Other'!F12</f>
        <v>0</v>
      </c>
      <c r="G32" s="4">
        <f>'Equity Sch_Other'!G12</f>
        <v>0</v>
      </c>
      <c r="H32" s="4">
        <f>'Equity Sch_Other'!H12</f>
        <v>0</v>
      </c>
      <c r="I32" s="4">
        <f>'Equity Sch_Other'!I12</f>
        <v>0</v>
      </c>
      <c r="J32" s="4">
        <f>'Equity Sch_Other'!J12</f>
        <v>0</v>
      </c>
      <c r="K32" s="4">
        <f>'Equity Sch_Other'!K12</f>
        <v>0</v>
      </c>
      <c r="L32" s="4">
        <f>'Equity Sch_Other'!L12</f>
        <v>0</v>
      </c>
      <c r="N32" s="60" t="s">
        <v>150</v>
      </c>
    </row>
    <row r="33" spans="1:14" x14ac:dyDescent="0.3">
      <c r="B33" s="2" t="s">
        <v>137</v>
      </c>
      <c r="C33" s="2"/>
      <c r="D33" s="2"/>
      <c r="E33" s="2"/>
      <c r="F33" s="113">
        <f>PnL!F19</f>
        <v>19.5</v>
      </c>
      <c r="G33" s="113">
        <f>PnL!G19</f>
        <v>28.5</v>
      </c>
      <c r="H33" s="113">
        <f ca="1">PnL!H19</f>
        <v>16.721432888140463</v>
      </c>
      <c r="I33" s="113">
        <f ca="1">PnL!I19</f>
        <v>8.9156565846568974</v>
      </c>
      <c r="J33" s="113">
        <f ca="1">PnL!J19</f>
        <v>1.0821347048305903</v>
      </c>
      <c r="K33" s="113">
        <f ca="1">PnL!K19</f>
        <v>-9.2096266356458614</v>
      </c>
      <c r="L33" s="113">
        <f ca="1">PnL!L19</f>
        <v>-22.636351380774265</v>
      </c>
      <c r="N33" s="60" t="s">
        <v>154</v>
      </c>
    </row>
    <row r="34" spans="1:14" s="5" customFormat="1" ht="13.2" x14ac:dyDescent="0.25">
      <c r="B34" s="5" t="s">
        <v>132</v>
      </c>
      <c r="F34" s="114">
        <f t="shared" ref="F34:L34" si="3">F27+F28+F29-F30-F31-F32-F33</f>
        <v>-29.5</v>
      </c>
      <c r="G34" s="114">
        <f t="shared" si="3"/>
        <v>161.5</v>
      </c>
      <c r="H34" s="114">
        <f t="shared" ca="1" si="3"/>
        <v>-36.721432888140463</v>
      </c>
      <c r="I34" s="114">
        <f t="shared" ca="1" si="3"/>
        <v>-28.915656584656897</v>
      </c>
      <c r="J34" s="114">
        <f t="shared" ca="1" si="3"/>
        <v>-21.08213470483059</v>
      </c>
      <c r="K34" s="114">
        <f t="shared" ca="1" si="3"/>
        <v>-10.790373364354139</v>
      </c>
      <c r="L34" s="114">
        <f t="shared" ca="1" si="3"/>
        <v>2.6363513807742649</v>
      </c>
    </row>
    <row r="36" spans="1:14" s="5" customFormat="1" ht="13.2" x14ac:dyDescent="0.25">
      <c r="B36" s="36" t="s">
        <v>138</v>
      </c>
      <c r="C36" s="36"/>
      <c r="D36" s="36"/>
      <c r="E36" s="118"/>
      <c r="F36" s="96">
        <f>F18+F24+F34</f>
        <v>98.839999999999975</v>
      </c>
      <c r="G36" s="96">
        <f t="shared" ref="G36:L36" si="4">G18+G24+G34</f>
        <v>29.340000000000089</v>
      </c>
      <c r="H36" s="96">
        <f t="shared" ca="1" si="4"/>
        <v>168.61611853099225</v>
      </c>
      <c r="I36" s="96">
        <f t="shared" ca="1" si="4"/>
        <v>96.762938391392808</v>
      </c>
      <c r="J36" s="96">
        <f t="shared" ca="1" si="4"/>
        <v>97.225364663775053</v>
      </c>
      <c r="K36" s="96">
        <f t="shared" ca="1" si="4"/>
        <v>138.19602234166939</v>
      </c>
      <c r="L36" s="96">
        <f t="shared" ca="1" si="4"/>
        <v>190.44541244721918</v>
      </c>
    </row>
    <row r="38" spans="1:14" x14ac:dyDescent="0.3">
      <c r="A38" s="5" t="s">
        <v>139</v>
      </c>
    </row>
    <row r="39" spans="1:14" x14ac:dyDescent="0.3">
      <c r="B39" s="4" t="s">
        <v>105</v>
      </c>
      <c r="F39" s="12">
        <f>E41</f>
        <v>41.18</v>
      </c>
      <c r="G39" s="12">
        <f t="shared" ref="G39:L39" si="5">F41</f>
        <v>140.01999999999998</v>
      </c>
      <c r="H39" s="12">
        <f t="shared" si="5"/>
        <v>169.36000000000007</v>
      </c>
      <c r="I39" s="12">
        <f t="shared" ca="1" si="5"/>
        <v>337.97611853099232</v>
      </c>
      <c r="J39" s="12">
        <f t="shared" ca="1" si="5"/>
        <v>434.73905692238509</v>
      </c>
      <c r="K39" s="12">
        <f t="shared" ca="1" si="5"/>
        <v>531.96442158615685</v>
      </c>
      <c r="L39" s="12">
        <f t="shared" ca="1" si="5"/>
        <v>670.16044392743106</v>
      </c>
    </row>
    <row r="40" spans="1:14" x14ac:dyDescent="0.3">
      <c r="B40" s="2" t="s">
        <v>138</v>
      </c>
      <c r="C40" s="2"/>
      <c r="D40" s="2"/>
      <c r="E40" s="113"/>
      <c r="F40" s="113">
        <f t="shared" ref="F40:L40" si="6">F36</f>
        <v>98.839999999999975</v>
      </c>
      <c r="G40" s="113">
        <f t="shared" si="6"/>
        <v>29.340000000000089</v>
      </c>
      <c r="H40" s="113">
        <f t="shared" ca="1" si="6"/>
        <v>168.61611853099225</v>
      </c>
      <c r="I40" s="113">
        <f t="shared" ca="1" si="6"/>
        <v>96.762938391392808</v>
      </c>
      <c r="J40" s="113">
        <f t="shared" ca="1" si="6"/>
        <v>97.225364663775053</v>
      </c>
      <c r="K40" s="113">
        <f t="shared" ca="1" si="6"/>
        <v>138.19602234166939</v>
      </c>
      <c r="L40" s="113">
        <f t="shared" ca="1" si="6"/>
        <v>190.44541244721918</v>
      </c>
    </row>
    <row r="41" spans="1:14" s="5" customFormat="1" ht="13.2" x14ac:dyDescent="0.25">
      <c r="B41" s="5" t="s">
        <v>108</v>
      </c>
      <c r="E41" s="78">
        <f>BS!E29</f>
        <v>41.18</v>
      </c>
      <c r="F41" s="78">
        <f t="shared" ref="F41:L41" si="7">SUM(F39:F40)</f>
        <v>140.01999999999998</v>
      </c>
      <c r="G41" s="78">
        <f t="shared" si="7"/>
        <v>169.36000000000007</v>
      </c>
      <c r="H41" s="78">
        <f t="shared" ca="1" si="7"/>
        <v>337.97611853099232</v>
      </c>
      <c r="I41" s="78">
        <f t="shared" ca="1" si="7"/>
        <v>434.73905692238515</v>
      </c>
      <c r="J41" s="78">
        <f t="shared" ca="1" si="7"/>
        <v>531.96442158616014</v>
      </c>
      <c r="K41" s="78">
        <f t="shared" ca="1" si="7"/>
        <v>670.16044392782624</v>
      </c>
      <c r="L41" s="78">
        <f t="shared" ca="1" si="7"/>
        <v>860.60585637465022</v>
      </c>
    </row>
    <row r="45" spans="1:14" x14ac:dyDescent="0.3">
      <c r="G45" s="12"/>
      <c r="H45" s="12"/>
      <c r="I45" s="12"/>
      <c r="J45" s="12"/>
    </row>
    <row r="46" spans="1:14" x14ac:dyDescent="0.3">
      <c r="G46" s="18"/>
      <c r="H46" s="18"/>
      <c r="I46" s="18"/>
      <c r="J4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PnL</vt:lpstr>
      <vt:lpstr>BS</vt:lpstr>
      <vt:lpstr>Asset Schedule</vt:lpstr>
      <vt:lpstr>Debt Schedule</vt:lpstr>
      <vt:lpstr>Equity Sch_Other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Rupinder</dc:creator>
  <cp:lastModifiedBy>Shraddha Solanki</cp:lastModifiedBy>
  <dcterms:created xsi:type="dcterms:W3CDTF">2015-06-05T18:17:20Z</dcterms:created>
  <dcterms:modified xsi:type="dcterms:W3CDTF">2025-01-05T19:20:08Z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2024-11-19T04:05:02Z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7ee885be-fb33-4b41-983d-d7ff5a411f8b</vt:lpwstr>
  </property>
  <property fmtid="{D5CDD505-2E9C-101B-9397-08002B2CF9AE}" pid="7" name="MSIP_Label_defa4170-0d19-0005-0004-bc88714345d2_ActionId">
    <vt:lpwstr>986f6d58-ed13-413a-ace2-7507fb59c616</vt:lpwstr>
  </property>
  <property fmtid="{D5CDD505-2E9C-101B-9397-08002B2CF9AE}" pid="8" name="MSIP_Label_defa4170-0d19-0005-0004-bc88714345d2_ContentBits">
    <vt:lpwstr>0</vt:lpwstr>
  </property>
</Properties>
</file>