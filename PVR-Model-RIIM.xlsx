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d\AppData\Local\Microsoft\Olk\Attachments\ooa-80628bf4-0c65-43d9-b7e1-b471d6a8ef62\42c916f48f8138c4eca1948b014daeef4ee3d5056426788c98a86c8c45f2874e\"/>
    </mc:Choice>
  </mc:AlternateContent>
  <xr:revisionPtr revIDLastSave="0" documentId="13_ncr:1_{66C3E3E8-0EC8-4DD8-A2B5-A753E410DBB1}" xr6:coauthVersionLast="47" xr6:coauthVersionMax="47" xr10:uidLastSave="{00000000-0000-0000-0000-000000000000}"/>
  <bookViews>
    <workbookView xWindow="2304" yWindow="2304" windowWidth="13056" windowHeight="10476" activeTab="6" xr2:uid="{6DCD8AFC-7494-438C-8B6C-152197648A77}"/>
  </bookViews>
  <sheets>
    <sheet name="S" sheetId="5" r:id="rId1"/>
    <sheet name="DAT" sheetId="8" r:id="rId2"/>
    <sheet name="IS" sheetId="1" r:id="rId3"/>
    <sheet name="BS" sheetId="2" r:id="rId4"/>
    <sheet name="CFS" sheetId="6" r:id="rId5"/>
    <sheet name="FCFE" sheetId="3" r:id="rId6"/>
    <sheet name="Notes" sheetId="4" r:id="rId7"/>
    <sheet name="CFA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5" l="1"/>
  <c r="O28" i="3"/>
  <c r="K28" i="3"/>
  <c r="L28" i="3" s="1"/>
  <c r="M28" i="3" s="1"/>
  <c r="N28" i="3" s="1"/>
  <c r="J28" i="3"/>
  <c r="H31" i="3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30" i="3"/>
  <c r="P28" i="3" l="1"/>
  <c r="Q28" i="3" s="1"/>
  <c r="R28" i="3" s="1"/>
  <c r="S28" i="3" s="1"/>
  <c r="T28" i="3" s="1"/>
  <c r="U28" i="3" s="1"/>
  <c r="B23" i="8" l="1"/>
  <c r="D14" i="8"/>
  <c r="D15" i="8"/>
  <c r="D16" i="8"/>
  <c r="D17" i="8" s="1"/>
  <c r="E14" i="8" s="1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C15" i="8"/>
  <c r="C17" i="8" s="1"/>
  <c r="C16" i="8"/>
  <c r="B16" i="8"/>
  <c r="B15" i="8"/>
  <c r="B17" i="8" s="1"/>
  <c r="C14" i="8" s="1"/>
  <c r="B20" i="8"/>
  <c r="BF13" i="8"/>
  <c r="BG13" i="8" s="1"/>
  <c r="BH13" i="8" s="1"/>
  <c r="BI13" i="8" s="1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Q13" i="8" s="1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AK13" i="8" s="1"/>
  <c r="AL13" i="8" s="1"/>
  <c r="AM13" i="8" s="1"/>
  <c r="AN13" i="8" s="1"/>
  <c r="AO13" i="8" s="1"/>
  <c r="AP13" i="8" s="1"/>
  <c r="AQ13" i="8" s="1"/>
  <c r="AR13" i="8" s="1"/>
  <c r="AS13" i="8" s="1"/>
  <c r="AT13" i="8" s="1"/>
  <c r="AU13" i="8" s="1"/>
  <c r="AV13" i="8" s="1"/>
  <c r="AW13" i="8" s="1"/>
  <c r="AX13" i="8" s="1"/>
  <c r="AY13" i="8" s="1"/>
  <c r="AZ13" i="8" s="1"/>
  <c r="BA13" i="8" s="1"/>
  <c r="BB13" i="8" s="1"/>
  <c r="BC13" i="8" s="1"/>
  <c r="BD13" i="8" s="1"/>
  <c r="BE13" i="8" s="1"/>
  <c r="C13" i="8"/>
  <c r="B3" i="8"/>
  <c r="B10" i="8"/>
  <c r="F4" i="8" s="1"/>
  <c r="G33" i="5"/>
  <c r="H33" i="5" s="1"/>
  <c r="I33" i="5" s="1"/>
  <c r="J33" i="5" s="1"/>
  <c r="K33" i="5" s="1"/>
  <c r="Q17" i="3"/>
  <c r="K17" i="3"/>
  <c r="L17" i="3" s="1"/>
  <c r="M17" i="3" s="1"/>
  <c r="N17" i="3" s="1"/>
  <c r="O17" i="3" s="1"/>
  <c r="P17" i="3" s="1"/>
  <c r="J17" i="3"/>
  <c r="H20" i="3"/>
  <c r="H21" i="3" s="1"/>
  <c r="H22" i="3" s="1"/>
  <c r="H23" i="3" s="1"/>
  <c r="H24" i="3" s="1"/>
  <c r="H25" i="3" s="1"/>
  <c r="H26" i="3" s="1"/>
  <c r="H19" i="3"/>
  <c r="W32" i="5"/>
  <c r="W33" i="5" s="1"/>
  <c r="W34" i="5" s="1"/>
  <c r="W35" i="5" s="1"/>
  <c r="W36" i="5" s="1"/>
  <c r="W37" i="5" s="1"/>
  <c r="W38" i="5" s="1"/>
  <c r="Y30" i="5"/>
  <c r="Z30" i="5" s="1"/>
  <c r="AA30" i="5" s="1"/>
  <c r="AB30" i="5" s="1"/>
  <c r="AC30" i="5" s="1"/>
  <c r="AD30" i="5" s="1"/>
  <c r="AE30" i="5" s="1"/>
  <c r="X8" i="5"/>
  <c r="X9" i="5" s="1"/>
  <c r="X10" i="5" s="1"/>
  <c r="X11" i="5" s="1"/>
  <c r="X12" i="5" s="1"/>
  <c r="X13" i="5" s="1"/>
  <c r="X14" i="5" s="1"/>
  <c r="X15" i="5" s="1"/>
  <c r="X16" i="5" s="1"/>
  <c r="Z6" i="5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F35" i="5"/>
  <c r="G32" i="5" s="1"/>
  <c r="F19" i="6"/>
  <c r="G17" i="6"/>
  <c r="G13" i="6"/>
  <c r="G7" i="3" s="1"/>
  <c r="F44" i="5"/>
  <c r="E44" i="5"/>
  <c r="D44" i="5"/>
  <c r="C44" i="5"/>
  <c r="F42" i="5"/>
  <c r="G39" i="5" s="1"/>
  <c r="G42" i="5" s="1"/>
  <c r="G20" i="2" s="1"/>
  <c r="E42" i="5"/>
  <c r="F39" i="5" s="1"/>
  <c r="D42" i="5"/>
  <c r="E39" i="5" s="1"/>
  <c r="C42" i="5"/>
  <c r="D39" i="5" s="1"/>
  <c r="H41" i="5"/>
  <c r="I41" i="5" s="1"/>
  <c r="I13" i="6" s="1"/>
  <c r="F37" i="5"/>
  <c r="G37" i="5" s="1"/>
  <c r="H37" i="5" s="1"/>
  <c r="I37" i="5" s="1"/>
  <c r="J37" i="5" s="1"/>
  <c r="K37" i="5" s="1"/>
  <c r="K34" i="5" s="1"/>
  <c r="E37" i="5"/>
  <c r="D37" i="5"/>
  <c r="C37" i="5"/>
  <c r="F26" i="5"/>
  <c r="G23" i="5" s="1"/>
  <c r="E26" i="5"/>
  <c r="F23" i="5" s="1"/>
  <c r="D26" i="5"/>
  <c r="E23" i="5" s="1"/>
  <c r="C26" i="5"/>
  <c r="D23" i="5" s="1"/>
  <c r="B26" i="5"/>
  <c r="C23" i="5" s="1"/>
  <c r="H20" i="5"/>
  <c r="I20" i="5" s="1"/>
  <c r="J20" i="5" s="1"/>
  <c r="K20" i="5" s="1"/>
  <c r="F20" i="5"/>
  <c r="E20" i="5"/>
  <c r="D20" i="5"/>
  <c r="C20" i="5"/>
  <c r="B20" i="5"/>
  <c r="H19" i="5"/>
  <c r="I19" i="5" s="1"/>
  <c r="J19" i="5" s="1"/>
  <c r="K19" i="5" s="1"/>
  <c r="F19" i="5"/>
  <c r="E19" i="5"/>
  <c r="D19" i="5"/>
  <c r="C19" i="5"/>
  <c r="B19" i="5"/>
  <c r="H18" i="5"/>
  <c r="I18" i="5" s="1"/>
  <c r="J18" i="5" s="1"/>
  <c r="K18" i="5" s="1"/>
  <c r="F18" i="5"/>
  <c r="E18" i="5"/>
  <c r="D18" i="5"/>
  <c r="C18" i="5"/>
  <c r="B18" i="5"/>
  <c r="H17" i="5"/>
  <c r="I17" i="5" s="1"/>
  <c r="J17" i="5" s="1"/>
  <c r="K17" i="5" s="1"/>
  <c r="F17" i="5"/>
  <c r="E17" i="5"/>
  <c r="D17" i="5"/>
  <c r="C17" i="5"/>
  <c r="B17" i="5"/>
  <c r="H16" i="5"/>
  <c r="I16" i="5" s="1"/>
  <c r="J16" i="5" s="1"/>
  <c r="K16" i="5" s="1"/>
  <c r="F16" i="5"/>
  <c r="E16" i="5"/>
  <c r="D16" i="5"/>
  <c r="C16" i="5"/>
  <c r="B16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F8" i="5"/>
  <c r="E8" i="5"/>
  <c r="D8" i="5"/>
  <c r="C8" i="5"/>
  <c r="E15" i="8" l="1"/>
  <c r="E17" i="8"/>
  <c r="F14" i="8" s="1"/>
  <c r="D4" i="8"/>
  <c r="B4" i="8"/>
  <c r="B7" i="8" s="1"/>
  <c r="E4" i="8"/>
  <c r="C4" i="8"/>
  <c r="B5" i="8"/>
  <c r="C2" i="8" s="1"/>
  <c r="C3" i="8" s="1"/>
  <c r="G44" i="5"/>
  <c r="G7" i="5"/>
  <c r="G24" i="5"/>
  <c r="H8" i="5"/>
  <c r="H24" i="5" s="1"/>
  <c r="E45" i="5"/>
  <c r="F45" i="5"/>
  <c r="I34" i="5"/>
  <c r="J34" i="5"/>
  <c r="G34" i="5"/>
  <c r="G35" i="5" s="1"/>
  <c r="H34" i="5"/>
  <c r="G10" i="5"/>
  <c r="H10" i="5" s="1"/>
  <c r="I10" i="5" s="1"/>
  <c r="J10" i="5" s="1"/>
  <c r="K10" i="5" s="1"/>
  <c r="E24" i="5"/>
  <c r="E28" i="5" s="1"/>
  <c r="G11" i="5"/>
  <c r="H11" i="5" s="1"/>
  <c r="I11" i="5" s="1"/>
  <c r="J11" i="5" s="1"/>
  <c r="K11" i="5" s="1"/>
  <c r="H13" i="6"/>
  <c r="H7" i="3" s="1"/>
  <c r="D45" i="5"/>
  <c r="G12" i="5"/>
  <c r="H12" i="5" s="1"/>
  <c r="I12" i="5" s="1"/>
  <c r="J12" i="5" s="1"/>
  <c r="K12" i="5" s="1"/>
  <c r="D24" i="5"/>
  <c r="D28" i="5" s="1"/>
  <c r="J41" i="5"/>
  <c r="J13" i="6" s="1"/>
  <c r="I7" i="3"/>
  <c r="C24" i="5"/>
  <c r="C28" i="5" s="1"/>
  <c r="H39" i="5"/>
  <c r="H42" i="5" s="1"/>
  <c r="F24" i="5"/>
  <c r="F28" i="5" s="1"/>
  <c r="B23" i="3"/>
  <c r="B34" i="2"/>
  <c r="C34" i="2"/>
  <c r="D34" i="2"/>
  <c r="E34" i="2"/>
  <c r="F34" i="2"/>
  <c r="G29" i="2"/>
  <c r="H29" i="2" s="1"/>
  <c r="I29" i="2" s="1"/>
  <c r="J29" i="2" s="1"/>
  <c r="K29" i="2" s="1"/>
  <c r="H28" i="2"/>
  <c r="I28" i="2" s="1"/>
  <c r="J28" i="2" s="1"/>
  <c r="K28" i="2" s="1"/>
  <c r="G28" i="2"/>
  <c r="G26" i="2"/>
  <c r="H26" i="2" s="1"/>
  <c r="I26" i="2" s="1"/>
  <c r="J26" i="2" s="1"/>
  <c r="K26" i="2" s="1"/>
  <c r="G25" i="2"/>
  <c r="H25" i="2" s="1"/>
  <c r="I25" i="2" s="1"/>
  <c r="J25" i="2" s="1"/>
  <c r="K25" i="2" s="1"/>
  <c r="G22" i="2"/>
  <c r="H22" i="2" s="1"/>
  <c r="I22" i="2" s="1"/>
  <c r="J22" i="2" s="1"/>
  <c r="K22" i="2" s="1"/>
  <c r="G21" i="2"/>
  <c r="H21" i="2" s="1"/>
  <c r="I21" i="2" s="1"/>
  <c r="J21" i="2" s="1"/>
  <c r="K21" i="2" s="1"/>
  <c r="G18" i="2"/>
  <c r="H18" i="2" s="1"/>
  <c r="I18" i="2" s="1"/>
  <c r="J18" i="2" s="1"/>
  <c r="K18" i="2" s="1"/>
  <c r="G17" i="2"/>
  <c r="H17" i="2" s="1"/>
  <c r="I17" i="2" s="1"/>
  <c r="J17" i="2" s="1"/>
  <c r="K17" i="2" s="1"/>
  <c r="G12" i="2"/>
  <c r="H12" i="2" s="1"/>
  <c r="I12" i="2" s="1"/>
  <c r="J12" i="2" s="1"/>
  <c r="K12" i="2" s="1"/>
  <c r="G11" i="2"/>
  <c r="H11" i="2" s="1"/>
  <c r="I11" i="2" s="1"/>
  <c r="J11" i="2" s="1"/>
  <c r="K11" i="2" s="1"/>
  <c r="G10" i="2"/>
  <c r="H10" i="2" s="1"/>
  <c r="I10" i="2" s="1"/>
  <c r="J10" i="2" s="1"/>
  <c r="K10" i="2" s="1"/>
  <c r="H7" i="2"/>
  <c r="I7" i="2" s="1"/>
  <c r="J7" i="2" s="1"/>
  <c r="K7" i="2" s="1"/>
  <c r="G7" i="2"/>
  <c r="G5" i="2"/>
  <c r="H5" i="2"/>
  <c r="I5" i="2" s="1"/>
  <c r="J5" i="2" s="1"/>
  <c r="K5" i="2" s="1"/>
  <c r="F15" i="8" l="1"/>
  <c r="F17" i="8" s="1"/>
  <c r="G14" i="8" s="1"/>
  <c r="C5" i="8"/>
  <c r="D2" i="8" s="1"/>
  <c r="D3" i="8" s="1"/>
  <c r="C7" i="8"/>
  <c r="H8" i="6"/>
  <c r="H9" i="6" s="1"/>
  <c r="H5" i="3" s="1"/>
  <c r="I8" i="5"/>
  <c r="I24" i="5" s="1"/>
  <c r="I8" i="6" s="1"/>
  <c r="I9" i="6" s="1"/>
  <c r="H7" i="5"/>
  <c r="H4" i="5" s="1"/>
  <c r="H32" i="5"/>
  <c r="H35" i="5" s="1"/>
  <c r="G9" i="2"/>
  <c r="G45" i="5"/>
  <c r="H45" i="5" s="1"/>
  <c r="I45" i="5" s="1"/>
  <c r="G8" i="6"/>
  <c r="G9" i="6" s="1"/>
  <c r="G5" i="3" s="1"/>
  <c r="G3" i="5"/>
  <c r="G4" i="5"/>
  <c r="G5" i="5"/>
  <c r="G23" i="2"/>
  <c r="G28" i="5"/>
  <c r="K41" i="5"/>
  <c r="J7" i="3"/>
  <c r="H20" i="2"/>
  <c r="I39" i="5"/>
  <c r="I42" i="5" s="1"/>
  <c r="G15" i="8" l="1"/>
  <c r="G17" i="8" s="1"/>
  <c r="H14" i="8" s="1"/>
  <c r="D5" i="8"/>
  <c r="E2" i="8" s="1"/>
  <c r="E3" i="8" s="1"/>
  <c r="D7" i="8"/>
  <c r="H5" i="5"/>
  <c r="J8" i="5"/>
  <c r="K8" i="5" s="1"/>
  <c r="K24" i="5" s="1"/>
  <c r="K8" i="6" s="1"/>
  <c r="K9" i="6" s="1"/>
  <c r="I7" i="5"/>
  <c r="H3" i="5"/>
  <c r="I32" i="5"/>
  <c r="I35" i="5" s="1"/>
  <c r="H9" i="2"/>
  <c r="G11" i="1"/>
  <c r="G4" i="6" s="1"/>
  <c r="G11" i="6" s="1"/>
  <c r="G15" i="6" s="1"/>
  <c r="H44" i="5"/>
  <c r="H11" i="1" s="1"/>
  <c r="H4" i="6" s="1"/>
  <c r="H11" i="6" s="1"/>
  <c r="H15" i="6" s="1"/>
  <c r="G2" i="5"/>
  <c r="G2" i="1" s="1"/>
  <c r="K13" i="6"/>
  <c r="K7" i="3" s="1"/>
  <c r="J45" i="5"/>
  <c r="I44" i="5"/>
  <c r="I11" i="1" s="1"/>
  <c r="I4" i="6" s="1"/>
  <c r="I11" i="6" s="1"/>
  <c r="I15" i="6" s="1"/>
  <c r="I20" i="2"/>
  <c r="J39" i="5"/>
  <c r="J42" i="5" s="1"/>
  <c r="H28" i="5"/>
  <c r="I28" i="5" s="1"/>
  <c r="J28" i="5" s="1"/>
  <c r="K28" i="5" s="1"/>
  <c r="G25" i="5"/>
  <c r="G26" i="5" s="1"/>
  <c r="H23" i="5" s="1"/>
  <c r="I5" i="3"/>
  <c r="H23" i="2"/>
  <c r="H15" i="8" l="1"/>
  <c r="H17" i="8" s="1"/>
  <c r="I14" i="8" s="1"/>
  <c r="E5" i="8"/>
  <c r="F2" i="8" s="1"/>
  <c r="F3" i="8" s="1"/>
  <c r="E7" i="8"/>
  <c r="J24" i="5"/>
  <c r="J8" i="6" s="1"/>
  <c r="J9" i="6" s="1"/>
  <c r="J5" i="3" s="1"/>
  <c r="H2" i="5"/>
  <c r="H2" i="1" s="1"/>
  <c r="J7" i="5"/>
  <c r="J5" i="5" s="1"/>
  <c r="I5" i="5"/>
  <c r="I3" i="5"/>
  <c r="I4" i="5"/>
  <c r="J32" i="5"/>
  <c r="J35" i="5" s="1"/>
  <c r="I9" i="2"/>
  <c r="G5" i="1"/>
  <c r="G3" i="2"/>
  <c r="H25" i="5"/>
  <c r="H26" i="5" s="1"/>
  <c r="I23" i="5" s="1"/>
  <c r="J20" i="2"/>
  <c r="K39" i="5"/>
  <c r="K42" i="5" s="1"/>
  <c r="K20" i="2" s="1"/>
  <c r="J44" i="5"/>
  <c r="J11" i="1" s="1"/>
  <c r="J4" i="6" s="1"/>
  <c r="J11" i="6" s="1"/>
  <c r="J15" i="6" s="1"/>
  <c r="K45" i="5"/>
  <c r="G3" i="1"/>
  <c r="G6" i="1"/>
  <c r="G7" i="1"/>
  <c r="G4" i="1"/>
  <c r="K5" i="3"/>
  <c r="I23" i="2"/>
  <c r="J3" i="5" l="1"/>
  <c r="J4" i="5"/>
  <c r="J2" i="5" s="1"/>
  <c r="K7" i="5"/>
  <c r="K3" i="5" s="1"/>
  <c r="I15" i="8"/>
  <c r="I17" i="8" s="1"/>
  <c r="J14" i="8" s="1"/>
  <c r="F5" i="8"/>
  <c r="F7" i="8"/>
  <c r="G7" i="8"/>
  <c r="I2" i="5"/>
  <c r="I2" i="1" s="1"/>
  <c r="I3" i="2" s="1"/>
  <c r="K32" i="5"/>
  <c r="K35" i="5" s="1"/>
  <c r="K9" i="2" s="1"/>
  <c r="J9" i="2"/>
  <c r="G16" i="2"/>
  <c r="G19" i="2" s="1"/>
  <c r="G24" i="2" s="1"/>
  <c r="G4" i="2"/>
  <c r="H6" i="1"/>
  <c r="H3" i="2"/>
  <c r="I25" i="5"/>
  <c r="I26" i="5" s="1"/>
  <c r="J23" i="5" s="1"/>
  <c r="K4" i="5"/>
  <c r="K44" i="5"/>
  <c r="K11" i="1" s="1"/>
  <c r="K4" i="6" s="1"/>
  <c r="K11" i="6" s="1"/>
  <c r="K15" i="6" s="1"/>
  <c r="G8" i="1"/>
  <c r="H4" i="1"/>
  <c r="H7" i="1"/>
  <c r="H3" i="1"/>
  <c r="H5" i="1"/>
  <c r="K23" i="2"/>
  <c r="J23" i="2"/>
  <c r="G9" i="1"/>
  <c r="K5" i="5" l="1"/>
  <c r="K2" i="5" s="1"/>
  <c r="J15" i="8"/>
  <c r="J17" i="8"/>
  <c r="K14" i="8" s="1"/>
  <c r="G5" i="6"/>
  <c r="G4" i="3" s="1"/>
  <c r="H4" i="2"/>
  <c r="H16" i="2"/>
  <c r="H19" i="2" s="1"/>
  <c r="H24" i="2" s="1"/>
  <c r="G3" i="3"/>
  <c r="G3" i="6"/>
  <c r="J25" i="5"/>
  <c r="J26" i="5" s="1"/>
  <c r="K23" i="5" s="1"/>
  <c r="H8" i="1"/>
  <c r="G10" i="1"/>
  <c r="G12" i="1" s="1"/>
  <c r="G13" i="1" s="1"/>
  <c r="G14" i="1" s="1"/>
  <c r="I7" i="1"/>
  <c r="I5" i="1"/>
  <c r="I6" i="1"/>
  <c r="I4" i="1"/>
  <c r="I3" i="1"/>
  <c r="G8" i="2"/>
  <c r="G13" i="2" s="1"/>
  <c r="J2" i="1"/>
  <c r="J3" i="2" s="1"/>
  <c r="K15" i="8" l="1"/>
  <c r="K17" i="8"/>
  <c r="L14" i="8" s="1"/>
  <c r="H5" i="6"/>
  <c r="H4" i="3" s="1"/>
  <c r="I4" i="2"/>
  <c r="I16" i="2"/>
  <c r="I19" i="2" s="1"/>
  <c r="I24" i="2" s="1"/>
  <c r="G2" i="3"/>
  <c r="G8" i="3" s="1"/>
  <c r="G10" i="3" s="1"/>
  <c r="G2" i="6"/>
  <c r="G6" i="6" s="1"/>
  <c r="G18" i="6" s="1"/>
  <c r="G19" i="6" s="1"/>
  <c r="H17" i="6" s="1"/>
  <c r="K25" i="5"/>
  <c r="K26" i="5" s="1"/>
  <c r="K2" i="1"/>
  <c r="K3" i="2" s="1"/>
  <c r="I8" i="1"/>
  <c r="H9" i="1"/>
  <c r="G27" i="2"/>
  <c r="G30" i="2" s="1"/>
  <c r="G31" i="2" s="1"/>
  <c r="J6" i="1"/>
  <c r="J4" i="1"/>
  <c r="J5" i="1"/>
  <c r="J7" i="1"/>
  <c r="J3" i="1"/>
  <c r="L15" i="8" l="1"/>
  <c r="L17" i="8"/>
  <c r="M14" i="8" s="1"/>
  <c r="I5" i="6"/>
  <c r="I4" i="3" s="1"/>
  <c r="J4" i="2"/>
  <c r="J16" i="2"/>
  <c r="J19" i="2" s="1"/>
  <c r="J24" i="2" s="1"/>
  <c r="H3" i="3"/>
  <c r="H3" i="6"/>
  <c r="K5" i="1"/>
  <c r="K4" i="1"/>
  <c r="K7" i="1"/>
  <c r="K3" i="1"/>
  <c r="K6" i="1"/>
  <c r="J8" i="1"/>
  <c r="H10" i="1"/>
  <c r="H12" i="1" s="1"/>
  <c r="H13" i="1" s="1"/>
  <c r="H14" i="1" s="1"/>
  <c r="G2" i="2"/>
  <c r="G6" i="2" s="1"/>
  <c r="G14" i="2" s="1"/>
  <c r="G34" i="2" s="1"/>
  <c r="H8" i="2"/>
  <c r="H13" i="2" s="1"/>
  <c r="M15" i="8" l="1"/>
  <c r="M17" i="8"/>
  <c r="N14" i="8" s="1"/>
  <c r="K4" i="2"/>
  <c r="K16" i="2"/>
  <c r="K19" i="2" s="1"/>
  <c r="K24" i="2" s="1"/>
  <c r="J5" i="6"/>
  <c r="J4" i="3" s="1"/>
  <c r="H2" i="3"/>
  <c r="H8" i="3" s="1"/>
  <c r="H10" i="3" s="1"/>
  <c r="H2" i="6"/>
  <c r="H6" i="6" s="1"/>
  <c r="H18" i="6" s="1"/>
  <c r="H19" i="6" s="1"/>
  <c r="I17" i="6" s="1"/>
  <c r="K8" i="1"/>
  <c r="I9" i="1"/>
  <c r="H27" i="2"/>
  <c r="H30" i="2" s="1"/>
  <c r="H31" i="2" s="1"/>
  <c r="N15" i="8" l="1"/>
  <c r="N17" i="8"/>
  <c r="O14" i="8" s="1"/>
  <c r="K5" i="6"/>
  <c r="K4" i="3" s="1"/>
  <c r="I3" i="3"/>
  <c r="I3" i="6"/>
  <c r="H2" i="2"/>
  <c r="H6" i="2" s="1"/>
  <c r="H14" i="2" s="1"/>
  <c r="H34" i="2" s="1"/>
  <c r="I10" i="1"/>
  <c r="I12" i="1" s="1"/>
  <c r="I13" i="1" s="1"/>
  <c r="I14" i="1" s="1"/>
  <c r="O15" i="8" l="1"/>
  <c r="O17" i="8"/>
  <c r="P14" i="8" s="1"/>
  <c r="I2" i="3"/>
  <c r="I8" i="3" s="1"/>
  <c r="I10" i="3" s="1"/>
  <c r="I2" i="6"/>
  <c r="I6" i="6" s="1"/>
  <c r="I18" i="6" s="1"/>
  <c r="I19" i="6" s="1"/>
  <c r="J17" i="6" s="1"/>
  <c r="I8" i="2"/>
  <c r="I13" i="2" s="1"/>
  <c r="I27" i="2"/>
  <c r="I30" i="2" s="1"/>
  <c r="I31" i="2" s="1"/>
  <c r="J9" i="1"/>
  <c r="P15" i="8" l="1"/>
  <c r="P17" i="8"/>
  <c r="Q14" i="8" s="1"/>
  <c r="J3" i="3"/>
  <c r="J3" i="6"/>
  <c r="I2" i="2"/>
  <c r="I6" i="2" s="1"/>
  <c r="I14" i="2" s="1"/>
  <c r="I34" i="2" s="1"/>
  <c r="J10" i="1"/>
  <c r="J12" i="1" s="1"/>
  <c r="J13" i="1" s="1"/>
  <c r="J14" i="1" s="1"/>
  <c r="J8" i="2"/>
  <c r="J13" i="2" s="1"/>
  <c r="Q15" i="8" l="1"/>
  <c r="Q17" i="8"/>
  <c r="R14" i="8" s="1"/>
  <c r="J2" i="3"/>
  <c r="J8" i="3" s="1"/>
  <c r="J10" i="3" s="1"/>
  <c r="J2" i="6"/>
  <c r="J6" i="6" s="1"/>
  <c r="J18" i="6" s="1"/>
  <c r="J19" i="6" s="1"/>
  <c r="K17" i="6" s="1"/>
  <c r="K9" i="1"/>
  <c r="J27" i="2"/>
  <c r="J30" i="2" s="1"/>
  <c r="J31" i="2" s="1"/>
  <c r="R15" i="8" l="1"/>
  <c r="R17" i="8"/>
  <c r="S14" i="8" s="1"/>
  <c r="K3" i="3"/>
  <c r="K3" i="6"/>
  <c r="K8" i="2"/>
  <c r="K13" i="2" s="1"/>
  <c r="J2" i="2"/>
  <c r="J6" i="2" s="1"/>
  <c r="J14" i="2" s="1"/>
  <c r="J34" i="2" s="1"/>
  <c r="K10" i="1"/>
  <c r="K12" i="1" s="1"/>
  <c r="K13" i="1" s="1"/>
  <c r="K14" i="1" s="1"/>
  <c r="S15" i="8" l="1"/>
  <c r="S17" i="8"/>
  <c r="T14" i="8" s="1"/>
  <c r="K2" i="3"/>
  <c r="K8" i="3" s="1"/>
  <c r="K9" i="3" s="1"/>
  <c r="K10" i="3" s="1"/>
  <c r="B12" i="3" s="1"/>
  <c r="B14" i="3" s="1"/>
  <c r="K2" i="6"/>
  <c r="K6" i="6" s="1"/>
  <c r="K18" i="6" s="1"/>
  <c r="K19" i="6" s="1"/>
  <c r="K2" i="2" s="1"/>
  <c r="K6" i="2" s="1"/>
  <c r="K14" i="2" s="1"/>
  <c r="K27" i="2"/>
  <c r="K30" i="2" s="1"/>
  <c r="K31" i="2" s="1"/>
  <c r="T15" i="8" l="1"/>
  <c r="T17" i="8"/>
  <c r="U14" i="8" s="1"/>
  <c r="B18" i="3"/>
  <c r="H28" i="3" s="1"/>
  <c r="W30" i="5"/>
  <c r="K34" i="2"/>
  <c r="H17" i="3" l="1"/>
  <c r="U15" i="8"/>
  <c r="U17" i="8"/>
  <c r="V14" i="8" s="1"/>
  <c r="X6" i="5"/>
  <c r="B20" i="3"/>
  <c r="V15" i="8" l="1"/>
  <c r="V17" i="8" s="1"/>
  <c r="W14" i="8" s="1"/>
  <c r="W15" i="8" l="1"/>
  <c r="W17" i="8" s="1"/>
  <c r="X14" i="8" s="1"/>
  <c r="X15" i="8" l="1"/>
  <c r="X17" i="8" s="1"/>
  <c r="Y14" i="8" s="1"/>
  <c r="Y15" i="8" l="1"/>
  <c r="Y17" i="8" s="1"/>
  <c r="Z14" i="8" s="1"/>
  <c r="Z15" i="8" l="1"/>
  <c r="Z17" i="8"/>
  <c r="AA14" i="8" s="1"/>
  <c r="AA15" i="8" l="1"/>
  <c r="AA17" i="8"/>
  <c r="AB14" i="8" s="1"/>
  <c r="AB15" i="8" l="1"/>
  <c r="AB17" i="8"/>
  <c r="AC14" i="8" s="1"/>
  <c r="AC15" i="8" l="1"/>
  <c r="AC17" i="8"/>
  <c r="AD14" i="8" s="1"/>
  <c r="AD15" i="8" l="1"/>
  <c r="AD17" i="8"/>
  <c r="AE14" i="8" s="1"/>
  <c r="AE15" i="8" l="1"/>
  <c r="AE17" i="8" s="1"/>
  <c r="AF14" i="8" s="1"/>
  <c r="AF15" i="8" l="1"/>
  <c r="AF17" i="8"/>
  <c r="AG14" i="8" s="1"/>
  <c r="AG15" i="8" l="1"/>
  <c r="AG17" i="8" s="1"/>
  <c r="AH14" i="8" s="1"/>
  <c r="AH15" i="8" l="1"/>
  <c r="AH17" i="8"/>
  <c r="AI14" i="8" s="1"/>
  <c r="AI15" i="8" l="1"/>
  <c r="AI17" i="8"/>
  <c r="AJ14" i="8" s="1"/>
  <c r="AJ15" i="8" l="1"/>
  <c r="AJ17" i="8"/>
  <c r="AK14" i="8" s="1"/>
  <c r="AK15" i="8" l="1"/>
  <c r="AK17" i="8"/>
  <c r="AL14" i="8" s="1"/>
  <c r="AL15" i="8" l="1"/>
  <c r="AL17" i="8" s="1"/>
  <c r="AM14" i="8" s="1"/>
  <c r="AM15" i="8" l="1"/>
  <c r="AM17" i="8" s="1"/>
  <c r="AN14" i="8" s="1"/>
  <c r="AN15" i="8" l="1"/>
  <c r="AN17" i="8" s="1"/>
  <c r="AO14" i="8" s="1"/>
  <c r="AO15" i="8" l="1"/>
  <c r="AO17" i="8" s="1"/>
  <c r="AP14" i="8" s="1"/>
  <c r="AP15" i="8" l="1"/>
  <c r="AP17" i="8"/>
  <c r="AQ14" i="8" s="1"/>
  <c r="AQ15" i="8" l="1"/>
  <c r="AQ17" i="8"/>
  <c r="AR14" i="8" s="1"/>
  <c r="AR15" i="8" l="1"/>
  <c r="AR17" i="8"/>
  <c r="AS14" i="8" s="1"/>
  <c r="AS15" i="8" l="1"/>
  <c r="AS17" i="8"/>
  <c r="AT14" i="8" s="1"/>
  <c r="AT15" i="8" l="1"/>
  <c r="AT17" i="8"/>
  <c r="AU14" i="8" s="1"/>
  <c r="AU15" i="8" l="1"/>
  <c r="AU17" i="8" s="1"/>
  <c r="AV14" i="8" s="1"/>
  <c r="AV15" i="8" l="1"/>
  <c r="AV17" i="8"/>
  <c r="AW14" i="8" s="1"/>
  <c r="AW15" i="8" l="1"/>
  <c r="AW17" i="8"/>
  <c r="AX14" i="8" s="1"/>
  <c r="AX15" i="8" l="1"/>
  <c r="AX17" i="8" s="1"/>
  <c r="AY14" i="8" s="1"/>
  <c r="AY15" i="8" l="1"/>
  <c r="AY17" i="8"/>
  <c r="AZ14" i="8" s="1"/>
  <c r="AZ15" i="8" l="1"/>
  <c r="AZ17" i="8"/>
  <c r="BA14" i="8" s="1"/>
  <c r="BA15" i="8" l="1"/>
  <c r="BA17" i="8"/>
  <c r="BB14" i="8" s="1"/>
  <c r="BB15" i="8" l="1"/>
  <c r="BB17" i="8" s="1"/>
  <c r="BC14" i="8" s="1"/>
  <c r="BC15" i="8" l="1"/>
  <c r="BC17" i="8" s="1"/>
  <c r="BD14" i="8" s="1"/>
  <c r="BD15" i="8" l="1"/>
  <c r="BD17" i="8" s="1"/>
  <c r="BE14" i="8" s="1"/>
  <c r="BE15" i="8" l="1"/>
  <c r="BE17" i="8" s="1"/>
  <c r="BF14" i="8" s="1"/>
  <c r="BF15" i="8" l="1"/>
  <c r="BF17" i="8"/>
  <c r="BG14" i="8" s="1"/>
  <c r="BG15" i="8" l="1"/>
  <c r="BG17" i="8"/>
  <c r="BH14" i="8" s="1"/>
  <c r="BH15" i="8" l="1"/>
  <c r="BH17" i="8"/>
  <c r="BI14" i="8" s="1"/>
  <c r="BI15" i="8" l="1"/>
  <c r="BI17" i="8"/>
</calcChain>
</file>

<file path=xl/sharedStrings.xml><?xml version="1.0" encoding="utf-8"?>
<sst xmlns="http://schemas.openxmlformats.org/spreadsheetml/2006/main" count="257" uniqueCount="184">
  <si>
    <t>Income Statement (All numbers in INR lacs)</t>
  </si>
  <si>
    <t>FY 2020</t>
  </si>
  <si>
    <t>FY 2021</t>
  </si>
  <si>
    <t>FY 2022</t>
  </si>
  <si>
    <t>FY 2023</t>
  </si>
  <si>
    <t>FY 2024</t>
  </si>
  <si>
    <t>'Total Revenue'</t>
  </si>
  <si>
    <t>'- Raw Materials'</t>
  </si>
  <si>
    <t>'- Power &amp; Fuel Cost'</t>
  </si>
  <si>
    <t>'- Employee Cost'</t>
  </si>
  <si>
    <t>'- Selling &amp; Administrative Expenses'</t>
  </si>
  <si>
    <t>'- Operating &amp; Other expenses'</t>
  </si>
  <si>
    <t>'= EBITDA'</t>
  </si>
  <si>
    <t>'- Depreciation/Amortization'</t>
  </si>
  <si>
    <t>'= PBIT'</t>
  </si>
  <si>
    <t>'- Interest &amp; Other Items'</t>
  </si>
  <si>
    <t>'= PBT'</t>
  </si>
  <si>
    <t>'- Taxes &amp; Other Items'</t>
  </si>
  <si>
    <t>'= Net Income'</t>
  </si>
  <si>
    <t>Revenue from sale of tickets</t>
  </si>
  <si>
    <t>Revenue from f&amp;b</t>
  </si>
  <si>
    <t>Other revenue</t>
  </si>
  <si>
    <t>No. of screens</t>
  </si>
  <si>
    <t>Revenue from sale of tickets / screen</t>
  </si>
  <si>
    <t>Revenue from f&amp;b / screen</t>
  </si>
  <si>
    <t>Other revenue / screen</t>
  </si>
  <si>
    <t>FY 2025E</t>
  </si>
  <si>
    <t>FY 2026E</t>
  </si>
  <si>
    <t>FY 2027E</t>
  </si>
  <si>
    <t>FY 2028E</t>
  </si>
  <si>
    <t>FY 2029E</t>
  </si>
  <si>
    <t>Raw Materials as % of Total Revenue</t>
  </si>
  <si>
    <t>Power &amp; Fuel Cost as % of Total Revenue</t>
  </si>
  <si>
    <t>Employee Cost as % of Total Revenue</t>
  </si>
  <si>
    <t>Selling &amp; Administrative Expenses as % of Total Revenue</t>
  </si>
  <si>
    <t>Operating &amp; Other expenses as % of Total Revenue</t>
  </si>
  <si>
    <t>'Cash and Short Term Investments'</t>
  </si>
  <si>
    <t>'+ Total Receivables'</t>
  </si>
  <si>
    <t>'+ Total Inventory'</t>
  </si>
  <si>
    <t>'+ Other Current Assets'</t>
  </si>
  <si>
    <t>'= Total Current Assets (A1)'</t>
  </si>
  <si>
    <t>'Loans &amp; Advances'</t>
  </si>
  <si>
    <t>-</t>
  </si>
  <si>
    <t>'+ Net Property/Plant/Equipment'</t>
  </si>
  <si>
    <t>'+ Goodwill &amp; Intangibles'</t>
  </si>
  <si>
    <t>'+ Long Term Investments'</t>
  </si>
  <si>
    <t>'+ Deferred Tax Assets (Net)'</t>
  </si>
  <si>
    <t>'+ Other Assets'</t>
  </si>
  <si>
    <t>'= Non Current Assets (A2)'</t>
  </si>
  <si>
    <t>'Total Assets (A1 + A2)'</t>
  </si>
  <si>
    <t>'Accounts Payable'</t>
  </si>
  <si>
    <t>'+ Total Deposits'</t>
  </si>
  <si>
    <t>'+ Other Current Liabilities'</t>
  </si>
  <si>
    <t>'= Current Liabilities'</t>
  </si>
  <si>
    <t>'Total Long Term Debt'</t>
  </si>
  <si>
    <t>'+ Deferred Tax Liabilities (Net)'</t>
  </si>
  <si>
    <t>'+ Other Liabilities'</t>
  </si>
  <si>
    <t>'= Non Current Liabilities'</t>
  </si>
  <si>
    <t>'Total Liabilities'</t>
  </si>
  <si>
    <t>'Common Stock'</t>
  </si>
  <si>
    <t>'+ Additional Paid-in Capital'</t>
  </si>
  <si>
    <t>'+ Reserves &amp; Surplus'</t>
  </si>
  <si>
    <t>'+ Minority Interest'</t>
  </si>
  <si>
    <t>'+ Other Equity'</t>
  </si>
  <si>
    <t>'Total Equity'</t>
  </si>
  <si>
    <t>'Total Liabilities &amp; Shareholder's Equity'</t>
  </si>
  <si>
    <t>Balance Sheet (All numbers in INR lacs)</t>
  </si>
  <si>
    <t>Beginning balance of fixed assets</t>
  </si>
  <si>
    <t>Add: Net purchases</t>
  </si>
  <si>
    <t>Less: Depreciation</t>
  </si>
  <si>
    <t>Closing balance of fixed assets</t>
  </si>
  <si>
    <t>Depreciation rate</t>
  </si>
  <si>
    <t xml:space="preserve">Average net purchase per screen </t>
  </si>
  <si>
    <t>Amortisation</t>
  </si>
  <si>
    <t>check</t>
  </si>
  <si>
    <t>Net Profit</t>
  </si>
  <si>
    <t>Add: Depreciation / Armortisation</t>
  </si>
  <si>
    <t>Add: Interest cost</t>
  </si>
  <si>
    <t>Add/Less: Changes in working capital</t>
  </si>
  <si>
    <t>CFO</t>
  </si>
  <si>
    <t>Net Purchases (Capex)</t>
  </si>
  <si>
    <t>CFI</t>
  </si>
  <si>
    <t>Interest cost</t>
  </si>
  <si>
    <t>Add: Debt raised</t>
  </si>
  <si>
    <t>Less: Debt repaid</t>
  </si>
  <si>
    <t>Less: Dividend paid</t>
  </si>
  <si>
    <t>CFF</t>
  </si>
  <si>
    <t>Cash Flow Statement (All numbers in INR lacs)</t>
  </si>
  <si>
    <t>CFO + CFI + CFF</t>
  </si>
  <si>
    <t>Beginning balance of cash</t>
  </si>
  <si>
    <t>Closing balance of cash</t>
  </si>
  <si>
    <t>FCFE (All numbers in INR lacs)</t>
  </si>
  <si>
    <t>Add: Depreciation</t>
  </si>
  <si>
    <t>Add/Less: Changes in Working Capital</t>
  </si>
  <si>
    <t>Less: Capex</t>
  </si>
  <si>
    <t>FCFE</t>
  </si>
  <si>
    <t>Add: Terminal Value</t>
  </si>
  <si>
    <t>FCFE Including Terminal Value</t>
  </si>
  <si>
    <t>Equity Value</t>
  </si>
  <si>
    <t>Number of Shares</t>
  </si>
  <si>
    <t>Current Market Price</t>
  </si>
  <si>
    <t>g</t>
  </si>
  <si>
    <t>ke</t>
  </si>
  <si>
    <t>Rf</t>
  </si>
  <si>
    <t>Rm</t>
  </si>
  <si>
    <t>Beta</t>
  </si>
  <si>
    <t>Intrinsic Value per share (INR)</t>
  </si>
  <si>
    <t>Upside/Downside</t>
  </si>
  <si>
    <t>Verdict</t>
  </si>
  <si>
    <t>Inflation</t>
  </si>
  <si>
    <t xml:space="preserve">4 step approach </t>
  </si>
  <si>
    <t>1. EBITDA Forecast (Revenue drivers, Cost drivers)</t>
  </si>
  <si>
    <t>2. EBIT Forecast (Fixed asset schedule)</t>
  </si>
  <si>
    <t>3. PAT Forecast (Debt schedule)</t>
  </si>
  <si>
    <t>4. BS &amp; CFS Forecast (Working capital)</t>
  </si>
  <si>
    <t>(PAT + Depreciation +/- Changes in working capital - Capex + Debt raised - Debt repaid)</t>
  </si>
  <si>
    <t>Ke</t>
  </si>
  <si>
    <t>Capital Asset Pricing Model : Ke = Rf + beta* (Rm - Rf)</t>
  </si>
  <si>
    <t xml:space="preserve">Value of anything is PV(Future Cash flows) ---&gt; NPV </t>
  </si>
  <si>
    <t>Compared Intrinsic Value with CMP --&gt; Verdict</t>
  </si>
  <si>
    <t>Business is a going concern --&gt; we need to incorporate infinite life of the business</t>
  </si>
  <si>
    <t>For the same we calculated terminal value --&gt; Sum of infinite GP ---&gt; TV = C1 / (ke - g)</t>
  </si>
  <si>
    <t>FCFE - Income statement is created on accrual basis</t>
  </si>
  <si>
    <t>Beginning balance of Debt</t>
  </si>
  <si>
    <t>Closing balance of Debt</t>
  </si>
  <si>
    <t>Interest rate</t>
  </si>
  <si>
    <t>Discounted Cash flow</t>
  </si>
  <si>
    <t>Cash</t>
  </si>
  <si>
    <t>Discount rate</t>
  </si>
  <si>
    <t>Discounted Value</t>
  </si>
  <si>
    <t>FCFF</t>
  </si>
  <si>
    <t>D</t>
  </si>
  <si>
    <t>WACC</t>
  </si>
  <si>
    <t>Enterprise Value</t>
  </si>
  <si>
    <t>Share Price</t>
  </si>
  <si>
    <t>Relative Valuation</t>
  </si>
  <si>
    <t>95% of the analysts use relative valuation</t>
  </si>
  <si>
    <t>He also says, DCF valuation is more fundamental in nature - but still analysts don’t use it as much</t>
  </si>
  <si>
    <t>1. simple 2. it is easy to sell</t>
  </si>
  <si>
    <t>Schedules and Assumptions (All numbers in INR lacs)</t>
  </si>
  <si>
    <t>Beginning balance of intangible assets</t>
  </si>
  <si>
    <t>Closing balance of intangible assets</t>
  </si>
  <si>
    <t>P</t>
  </si>
  <si>
    <t>N</t>
  </si>
  <si>
    <t>O</t>
  </si>
  <si>
    <t>Select Case</t>
  </si>
  <si>
    <t>Investor</t>
  </si>
  <si>
    <t>Markets</t>
  </si>
  <si>
    <t>Equity</t>
  </si>
  <si>
    <t>Debt</t>
  </si>
  <si>
    <t>Alternatives</t>
  </si>
  <si>
    <t>PM</t>
  </si>
  <si>
    <t>Buy Side</t>
  </si>
  <si>
    <t>Sell Side</t>
  </si>
  <si>
    <t>Company</t>
  </si>
  <si>
    <t>Government</t>
  </si>
  <si>
    <t>IB</t>
  </si>
  <si>
    <t>Project</t>
  </si>
  <si>
    <t>(FRA)</t>
  </si>
  <si>
    <t>(CF)</t>
  </si>
  <si>
    <t>(Equity)</t>
  </si>
  <si>
    <t>(FIS)</t>
  </si>
  <si>
    <t>(Alternatives)</t>
  </si>
  <si>
    <t>(PM)</t>
  </si>
  <si>
    <t>(Ethics)</t>
  </si>
  <si>
    <t>(Quant)</t>
  </si>
  <si>
    <t>(Derivatives)</t>
  </si>
  <si>
    <t>(Economics)</t>
  </si>
  <si>
    <t>Less: Amortisation</t>
  </si>
  <si>
    <t>Beginning balance of debt</t>
  </si>
  <si>
    <t>Add: Interest</t>
  </si>
  <si>
    <t>Less: EAI</t>
  </si>
  <si>
    <t>Closing balance of debt</t>
  </si>
  <si>
    <t>EAI</t>
  </si>
  <si>
    <t>Principal repaid</t>
  </si>
  <si>
    <t>Interest</t>
  </si>
  <si>
    <t>EMI</t>
  </si>
  <si>
    <t>Pessimistic</t>
  </si>
  <si>
    <t>Normal</t>
  </si>
  <si>
    <t>Optimistic</t>
  </si>
  <si>
    <t xml:space="preserve"> </t>
  </si>
  <si>
    <t>We also talked about FCFF</t>
  </si>
  <si>
    <t>FCFF = EBIT*(1-t) + Depreciaiton +/- Changes in working capital - Capex</t>
  </si>
  <si>
    <t>WACC = wd*kd*(1-t) + we*ke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</si>
</sst>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_);_(* \(#,##0\);_(* &quot;-&quot;?_);_(@_)"/>
    <numFmt numFmtId="168" formatCode="0.0"/>
    <numFmt numFmtId="169" formatCode="_(* #,##0.0_);_(* \(#,##0.0\);_(* &quot;-&quot;??_);_(@_)"/>
    <numFmt numFmtId="170" formatCode="0.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3" fontId="0" fillId="0" borderId="0" xfId="0" applyNumberFormat="1"/>
    <xf numFmtId="0" fontId="0" fillId="33" borderId="0" xfId="0" applyFill="1"/>
    <xf numFmtId="164" fontId="0" fillId="0" borderId="0" xfId="1" applyFont="1"/>
    <xf numFmtId="165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13" fillId="34" borderId="0" xfId="0" applyFont="1" applyFill="1"/>
    <xf numFmtId="0" fontId="0" fillId="0" borderId="0" xfId="0" quotePrefix="1"/>
    <xf numFmtId="166" fontId="0" fillId="0" borderId="0" xfId="2" applyNumberFormat="1" applyFont="1"/>
    <xf numFmtId="166" fontId="0" fillId="0" borderId="0" xfId="0" applyNumberFormat="1"/>
    <xf numFmtId="167" fontId="0" fillId="0" borderId="0" xfId="0" applyNumberFormat="1"/>
    <xf numFmtId="0" fontId="16" fillId="0" borderId="10" xfId="0" applyFont="1" applyBorder="1"/>
    <xf numFmtId="3" fontId="16" fillId="0" borderId="10" xfId="0" applyNumberFormat="1" applyFont="1" applyBorder="1"/>
    <xf numFmtId="165" fontId="16" fillId="0" borderId="10" xfId="0" applyNumberFormat="1" applyFont="1" applyBorder="1"/>
    <xf numFmtId="165" fontId="0" fillId="33" borderId="0" xfId="0" applyNumberFormat="1" applyFill="1"/>
    <xf numFmtId="0" fontId="0" fillId="0" borderId="11" xfId="0" applyBorder="1"/>
    <xf numFmtId="165" fontId="0" fillId="0" borderId="11" xfId="1" applyNumberFormat="1" applyFont="1" applyBorder="1"/>
    <xf numFmtId="9" fontId="0" fillId="0" borderId="0" xfId="0" applyNumberFormat="1"/>
    <xf numFmtId="168" fontId="0" fillId="0" borderId="0" xfId="0" applyNumberFormat="1"/>
    <xf numFmtId="166" fontId="0" fillId="0" borderId="0" xfId="2" applyNumberFormat="1" applyFont="1" applyAlignment="1">
      <alignment horizontal="center"/>
    </xf>
    <xf numFmtId="9" fontId="0" fillId="0" borderId="0" xfId="2" applyFont="1"/>
    <xf numFmtId="0" fontId="0" fillId="0" borderId="12" xfId="0" applyBorder="1"/>
    <xf numFmtId="165" fontId="0" fillId="0" borderId="0" xfId="1" applyNumberFormat="1" applyFont="1" applyFill="1"/>
    <xf numFmtId="165" fontId="16" fillId="0" borderId="10" xfId="1" applyNumberFormat="1" applyFont="1" applyFill="1" applyBorder="1"/>
    <xf numFmtId="0" fontId="16" fillId="0" borderId="0" xfId="0" applyFont="1"/>
    <xf numFmtId="165" fontId="16" fillId="0" borderId="0" xfId="1" applyNumberFormat="1" applyFont="1" applyFill="1"/>
    <xf numFmtId="165" fontId="0" fillId="33" borderId="11" xfId="1" applyNumberFormat="1" applyFont="1" applyFill="1" applyBorder="1"/>
    <xf numFmtId="9" fontId="0" fillId="33" borderId="0" xfId="0" applyNumberFormat="1" applyFill="1"/>
    <xf numFmtId="10" fontId="0" fillId="0" borderId="0" xfId="2" applyNumberFormat="1" applyFont="1"/>
    <xf numFmtId="166" fontId="0" fillId="33" borderId="0" xfId="2" applyNumberFormat="1" applyFont="1" applyFill="1"/>
    <xf numFmtId="168" fontId="0" fillId="33" borderId="0" xfId="0" applyNumberFormat="1" applyFill="1"/>
    <xf numFmtId="166" fontId="14" fillId="0" borderId="0" xfId="0" applyNumberFormat="1" applyFont="1"/>
    <xf numFmtId="166" fontId="14" fillId="0" borderId="0" xfId="2" applyNumberFormat="1" applyFont="1"/>
    <xf numFmtId="0" fontId="17" fillId="34" borderId="0" xfId="0" applyFont="1" applyFill="1"/>
    <xf numFmtId="166" fontId="0" fillId="33" borderId="0" xfId="0" applyNumberFormat="1" applyFill="1"/>
    <xf numFmtId="0" fontId="16" fillId="33" borderId="0" xfId="0" applyFont="1" applyFill="1"/>
    <xf numFmtId="169" fontId="0" fillId="0" borderId="0" xfId="1" applyNumberFormat="1" applyFont="1"/>
    <xf numFmtId="170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F22C9-B77E-4E2F-9406-55B8C7DB52EC}">
  <dimension ref="A1:AK47"/>
  <sheetViews>
    <sheetView zoomScale="149" zoomScaleNormal="149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RowHeight="14.4" x14ac:dyDescent="0.3"/>
  <cols>
    <col min="1" max="1" width="46.109375" bestFit="1" customWidth="1"/>
    <col min="6" max="11" width="9.21875" bestFit="1" customWidth="1"/>
    <col min="12" max="12" width="12" customWidth="1"/>
    <col min="13" max="13" width="11.88671875" customWidth="1"/>
    <col min="14" max="14" width="10.88671875" customWidth="1"/>
    <col min="24" max="26" width="9.5546875" bestFit="1" customWidth="1"/>
    <col min="27" max="31" width="9" bestFit="1" customWidth="1"/>
  </cols>
  <sheetData>
    <row r="1" spans="1:37" x14ac:dyDescent="0.3">
      <c r="A1" s="7" t="s">
        <v>139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145</v>
      </c>
      <c r="M1" s="34" t="s">
        <v>177</v>
      </c>
      <c r="N1" t="s">
        <v>177</v>
      </c>
      <c r="O1" t="s">
        <v>178</v>
      </c>
      <c r="P1" t="s">
        <v>179</v>
      </c>
    </row>
    <row r="2" spans="1:37" x14ac:dyDescent="0.3">
      <c r="A2" t="s">
        <v>6</v>
      </c>
      <c r="B2" s="1">
        <v>3452</v>
      </c>
      <c r="C2">
        <v>749</v>
      </c>
      <c r="D2" s="1">
        <v>1656</v>
      </c>
      <c r="E2" s="1">
        <v>3830</v>
      </c>
      <c r="F2" s="1">
        <v>6264</v>
      </c>
      <c r="G2" s="5">
        <f>SUM(G3:G5)</f>
        <v>7229.0156353541688</v>
      </c>
      <c r="H2" s="5">
        <f>SUM(H3:H5)</f>
        <v>7730.7943676905179</v>
      </c>
      <c r="I2" s="5">
        <f>SUM(I3:I5)</f>
        <v>8261.1489735972063</v>
      </c>
      <c r="J2" s="5">
        <f>SUM(J3:J5)</f>
        <v>8821.5626769881274</v>
      </c>
      <c r="K2" s="5">
        <f>SUM(K3:K5)</f>
        <v>9413.5916382925643</v>
      </c>
    </row>
    <row r="3" spans="1:37" x14ac:dyDescent="0.3">
      <c r="A3" t="s">
        <v>19</v>
      </c>
      <c r="B3" s="1">
        <v>1731</v>
      </c>
      <c r="C3">
        <v>102</v>
      </c>
      <c r="D3">
        <v>670</v>
      </c>
      <c r="E3" s="1">
        <v>1894</v>
      </c>
      <c r="F3" s="1">
        <v>3280</v>
      </c>
      <c r="G3" s="4">
        <f t="shared" ref="G3:K5" si="0">G$7*G10</f>
        <v>3621.7846153846158</v>
      </c>
      <c r="H3" s="4">
        <f t="shared" si="0"/>
        <v>3873.1790769230774</v>
      </c>
      <c r="I3" s="4">
        <f t="shared" si="0"/>
        <v>4138.8902400000006</v>
      </c>
      <c r="J3" s="4">
        <f t="shared" si="0"/>
        <v>4419.6612096000008</v>
      </c>
      <c r="K3" s="4">
        <f t="shared" si="0"/>
        <v>4716.2716323840004</v>
      </c>
    </row>
    <row r="4" spans="1:37" x14ac:dyDescent="0.3">
      <c r="A4" t="s">
        <v>20</v>
      </c>
      <c r="B4">
        <v>960</v>
      </c>
      <c r="C4">
        <v>76</v>
      </c>
      <c r="D4">
        <v>412</v>
      </c>
      <c r="E4" s="1">
        <v>1193</v>
      </c>
      <c r="F4" s="1">
        <v>1958</v>
      </c>
      <c r="G4" s="4">
        <f t="shared" si="0"/>
        <v>2014.9848661233993</v>
      </c>
      <c r="H4" s="4">
        <f t="shared" si="0"/>
        <v>2154.8485215366704</v>
      </c>
      <c r="I4" s="4">
        <f t="shared" si="0"/>
        <v>2302.6772935972062</v>
      </c>
      <c r="J4" s="4">
        <f t="shared" si="0"/>
        <v>2458.884609788126</v>
      </c>
      <c r="K4" s="4">
        <f t="shared" si="0"/>
        <v>2623.9042276045639</v>
      </c>
    </row>
    <row r="5" spans="1:37" x14ac:dyDescent="0.3">
      <c r="A5" t="s">
        <v>21</v>
      </c>
      <c r="B5">
        <v>761</v>
      </c>
      <c r="C5">
        <v>571</v>
      </c>
      <c r="D5">
        <v>574</v>
      </c>
      <c r="E5">
        <v>743</v>
      </c>
      <c r="F5" s="1">
        <v>1026</v>
      </c>
      <c r="G5" s="4">
        <f t="shared" si="0"/>
        <v>1592.2461538461539</v>
      </c>
      <c r="H5" s="4">
        <f t="shared" si="0"/>
        <v>1702.7667692307693</v>
      </c>
      <c r="I5" s="4">
        <f t="shared" si="0"/>
        <v>1819.5814400000002</v>
      </c>
      <c r="J5" s="4">
        <f t="shared" si="0"/>
        <v>1943.0168576000001</v>
      </c>
      <c r="K5" s="4">
        <f t="shared" si="0"/>
        <v>2073.415778304</v>
      </c>
    </row>
    <row r="6" spans="1:37" x14ac:dyDescent="0.3">
      <c r="X6" s="29">
        <f>FCFE!B18</f>
        <v>-0.46720596283743854</v>
      </c>
      <c r="Y6">
        <v>10</v>
      </c>
      <c r="Z6">
        <f>Y6+10</f>
        <v>20</v>
      </c>
      <c r="AA6">
        <f t="shared" ref="AA6:AK6" si="1">Z6+10</f>
        <v>30</v>
      </c>
      <c r="AB6">
        <f t="shared" si="1"/>
        <v>40</v>
      </c>
      <c r="AC6">
        <f t="shared" si="1"/>
        <v>50</v>
      </c>
      <c r="AD6">
        <f t="shared" si="1"/>
        <v>60</v>
      </c>
      <c r="AE6">
        <f t="shared" si="1"/>
        <v>70</v>
      </c>
      <c r="AF6">
        <f t="shared" si="1"/>
        <v>80</v>
      </c>
      <c r="AG6">
        <f t="shared" si="1"/>
        <v>90</v>
      </c>
      <c r="AH6">
        <f t="shared" si="1"/>
        <v>100</v>
      </c>
      <c r="AI6">
        <f t="shared" si="1"/>
        <v>110</v>
      </c>
      <c r="AJ6">
        <f t="shared" si="1"/>
        <v>120</v>
      </c>
      <c r="AK6">
        <f t="shared" si="1"/>
        <v>130</v>
      </c>
    </row>
    <row r="7" spans="1:37" x14ac:dyDescent="0.3">
      <c r="A7" t="s">
        <v>22</v>
      </c>
      <c r="B7">
        <v>845</v>
      </c>
      <c r="C7">
        <v>842</v>
      </c>
      <c r="D7">
        <v>871</v>
      </c>
      <c r="E7">
        <v>1680</v>
      </c>
      <c r="F7">
        <v>1718</v>
      </c>
      <c r="G7">
        <f>F7+G8</f>
        <v>1768</v>
      </c>
      <c r="H7">
        <f>G7+H8</f>
        <v>1818</v>
      </c>
      <c r="I7">
        <f>H7+I8</f>
        <v>1868</v>
      </c>
      <c r="J7">
        <f>I7+J8</f>
        <v>1918</v>
      </c>
      <c r="K7">
        <f>J7+K8</f>
        <v>1968</v>
      </c>
      <c r="X7" s="9">
        <v>0.03</v>
      </c>
      <c r="Y7" s="9">
        <f t="dataTable" ref="Y7:AK16" dt2D="1" dtr="1" r1="G8" r2="B14"/>
        <v>-0.5346452302008935</v>
      </c>
      <c r="Z7" s="9">
        <v>-0.53427997550053985</v>
      </c>
      <c r="AA7" s="9">
        <v>-0.53391472080018587</v>
      </c>
      <c r="AB7" s="9">
        <v>-0.53354946609983156</v>
      </c>
      <c r="AC7" s="9">
        <v>-0.5331842113994778</v>
      </c>
      <c r="AD7" s="9">
        <v>-0.53281895669912394</v>
      </c>
      <c r="AE7" s="9">
        <v>-0.53245370199877062</v>
      </c>
      <c r="AF7" s="9">
        <v>-0.53208844729841731</v>
      </c>
      <c r="AG7" s="9">
        <v>-0.53172319259806278</v>
      </c>
      <c r="AH7" s="9">
        <v>-0.5313579378977088</v>
      </c>
      <c r="AI7" s="9">
        <v>-0.53099268319735504</v>
      </c>
      <c r="AJ7" s="9">
        <v>-0.53062742849700162</v>
      </c>
      <c r="AK7" s="9">
        <v>-0.53026217379664708</v>
      </c>
    </row>
    <row r="8" spans="1:37" x14ac:dyDescent="0.3">
      <c r="C8">
        <f>C7-B7</f>
        <v>-3</v>
      </c>
      <c r="D8">
        <f>D7-C7</f>
        <v>29</v>
      </c>
      <c r="E8">
        <f>E7-D7</f>
        <v>809</v>
      </c>
      <c r="F8">
        <f>F7-E7</f>
        <v>38</v>
      </c>
      <c r="G8" s="2">
        <f>HLOOKUP(M1,$N:$P,8,0)</f>
        <v>50</v>
      </c>
      <c r="H8">
        <f>G8</f>
        <v>50</v>
      </c>
      <c r="I8">
        <f>H8</f>
        <v>50</v>
      </c>
      <c r="J8">
        <f>I8</f>
        <v>50</v>
      </c>
      <c r="K8">
        <f>J8</f>
        <v>50</v>
      </c>
      <c r="N8">
        <v>50</v>
      </c>
      <c r="O8">
        <v>80</v>
      </c>
      <c r="P8">
        <v>130</v>
      </c>
      <c r="X8" s="9">
        <f>X7+0.5%</f>
        <v>3.4999999999999996E-2</v>
      </c>
      <c r="Y8" s="9">
        <v>-0.50518214252392513</v>
      </c>
      <c r="Z8" s="9">
        <v>-0.50399402805511806</v>
      </c>
      <c r="AA8" s="9">
        <v>-0.50280591358631166</v>
      </c>
      <c r="AB8" s="9">
        <v>-0.5016177991175047</v>
      </c>
      <c r="AC8" s="9">
        <v>-0.50042968464869797</v>
      </c>
      <c r="AD8" s="9">
        <v>-0.49924157017989124</v>
      </c>
      <c r="AE8" s="9">
        <v>-0.49805345571108395</v>
      </c>
      <c r="AF8" s="9">
        <v>-0.49686534124227777</v>
      </c>
      <c r="AG8" s="9">
        <v>-0.49567722677347181</v>
      </c>
      <c r="AH8" s="9">
        <v>-0.49448911230466452</v>
      </c>
      <c r="AI8" s="9">
        <v>-0.49330099783585768</v>
      </c>
      <c r="AJ8" s="9">
        <v>-0.49211288336705061</v>
      </c>
      <c r="AK8" s="9">
        <v>-0.49092476889824399</v>
      </c>
    </row>
    <row r="9" spans="1:37" x14ac:dyDescent="0.3">
      <c r="F9" s="18"/>
      <c r="X9" s="9">
        <f t="shared" ref="X9:X16" si="2">X8+0.5%</f>
        <v>3.9999999999999994E-2</v>
      </c>
      <c r="Y9" s="9">
        <v>-0.47529784773858397</v>
      </c>
      <c r="Z9" s="9">
        <v>-0.47327487651329736</v>
      </c>
      <c r="AA9" s="9">
        <v>-0.47125190528801131</v>
      </c>
      <c r="AB9" s="9">
        <v>-0.46922893406272459</v>
      </c>
      <c r="AC9" s="9">
        <v>-0.46720596283743854</v>
      </c>
      <c r="AD9" s="9">
        <v>-0.46518299161215204</v>
      </c>
      <c r="AE9" s="9">
        <v>-0.46316002038686555</v>
      </c>
      <c r="AF9" s="9">
        <v>-0.46113704916157938</v>
      </c>
      <c r="AG9" s="9">
        <v>-0.45911407793629311</v>
      </c>
      <c r="AH9" s="9">
        <v>-0.45709110671100717</v>
      </c>
      <c r="AI9" s="9">
        <v>-0.45506813548571978</v>
      </c>
      <c r="AJ9" s="9">
        <v>-0.45304516426043295</v>
      </c>
      <c r="AK9" s="9">
        <v>-0.4510221930351469</v>
      </c>
    </row>
    <row r="10" spans="1:37" x14ac:dyDescent="0.3">
      <c r="A10" t="s">
        <v>23</v>
      </c>
      <c r="B10" s="3">
        <f t="shared" ref="B10:F12" si="3">B3/B$7</f>
        <v>2.0485207100591718</v>
      </c>
      <c r="C10" s="3">
        <f t="shared" si="3"/>
        <v>0.12114014251781473</v>
      </c>
      <c r="D10" s="3">
        <f t="shared" si="3"/>
        <v>0.76923076923076927</v>
      </c>
      <c r="E10" s="3">
        <f t="shared" si="3"/>
        <v>1.1273809523809524</v>
      </c>
      <c r="F10" s="3">
        <f t="shared" si="3"/>
        <v>1.909196740395809</v>
      </c>
      <c r="G10" s="6">
        <f>MAX(B10:F10)</f>
        <v>2.0485207100591718</v>
      </c>
      <c r="H10" s="6">
        <f t="shared" ref="H10:K12" si="4">G10*(1+$B$14)</f>
        <v>2.1304615384615389</v>
      </c>
      <c r="I10" s="6">
        <f t="shared" si="4"/>
        <v>2.2156800000000003</v>
      </c>
      <c r="J10" s="6">
        <f t="shared" si="4"/>
        <v>2.3043072000000002</v>
      </c>
      <c r="K10" s="6">
        <f t="shared" si="4"/>
        <v>2.3964794880000002</v>
      </c>
      <c r="X10" s="9">
        <f t="shared" si="2"/>
        <v>4.4999999999999991E-2</v>
      </c>
      <c r="Y10" s="9">
        <v>-0.4449881912357192</v>
      </c>
      <c r="Z10" s="9">
        <v>-0.44211824802414457</v>
      </c>
      <c r="AA10" s="9">
        <v>-0.43924830481256993</v>
      </c>
      <c r="AB10" s="9">
        <v>-0.43637836160099452</v>
      </c>
      <c r="AC10" s="9">
        <v>-0.43350841838942</v>
      </c>
      <c r="AD10" s="9">
        <v>-0.43063847517784548</v>
      </c>
      <c r="AE10" s="9">
        <v>-0.42776853196627085</v>
      </c>
      <c r="AF10" s="9">
        <v>-0.42489858875469566</v>
      </c>
      <c r="AG10" s="9">
        <v>-0.42202864554312103</v>
      </c>
      <c r="AH10" s="9">
        <v>-0.41915870233154628</v>
      </c>
      <c r="AI10" s="9">
        <v>-0.41628875911997143</v>
      </c>
      <c r="AJ10" s="9">
        <v>-0.41341881590839658</v>
      </c>
      <c r="AK10" s="9">
        <v>-0.41054887269682194</v>
      </c>
    </row>
    <row r="11" spans="1:37" x14ac:dyDescent="0.3">
      <c r="A11" t="s">
        <v>24</v>
      </c>
      <c r="B11" s="3">
        <f t="shared" si="3"/>
        <v>1.136094674556213</v>
      </c>
      <c r="C11" s="3">
        <f t="shared" si="3"/>
        <v>9.0261282660332537E-2</v>
      </c>
      <c r="D11" s="3">
        <f t="shared" si="3"/>
        <v>0.47301951779563722</v>
      </c>
      <c r="E11" s="3">
        <f t="shared" si="3"/>
        <v>0.71011904761904765</v>
      </c>
      <c r="F11" s="3">
        <f t="shared" si="3"/>
        <v>1.1396973224679861</v>
      </c>
      <c r="G11" s="6">
        <f>MAX(B11:F11)</f>
        <v>1.1396973224679861</v>
      </c>
      <c r="H11" s="6">
        <f t="shared" si="4"/>
        <v>1.1852852153667055</v>
      </c>
      <c r="I11" s="6">
        <f t="shared" si="4"/>
        <v>1.2326966239813737</v>
      </c>
      <c r="J11" s="6">
        <f t="shared" si="4"/>
        <v>1.2820044889406288</v>
      </c>
      <c r="K11" s="6">
        <f t="shared" si="4"/>
        <v>1.333284668498254</v>
      </c>
      <c r="X11" s="9">
        <f t="shared" si="2"/>
        <v>4.9999999999999989E-2</v>
      </c>
      <c r="Y11" s="9">
        <v>-0.41424899773250623</v>
      </c>
      <c r="Z11" s="9">
        <v>-0.41051984847838996</v>
      </c>
      <c r="AA11" s="9">
        <v>-0.40679069922427313</v>
      </c>
      <c r="AB11" s="9">
        <v>-0.40306154997015642</v>
      </c>
      <c r="AC11" s="9">
        <v>-0.3993324007160397</v>
      </c>
      <c r="AD11" s="9">
        <v>-0.39560325146192288</v>
      </c>
      <c r="AE11" s="9">
        <v>-0.39187410220780683</v>
      </c>
      <c r="AF11" s="9">
        <v>-0.38814495295369011</v>
      </c>
      <c r="AG11" s="9">
        <v>-0.38441580369957384</v>
      </c>
      <c r="AH11" s="9">
        <v>-0.38068665444545635</v>
      </c>
      <c r="AI11" s="9">
        <v>-0.37695750519133941</v>
      </c>
      <c r="AJ11" s="9">
        <v>-0.37322835593722359</v>
      </c>
      <c r="AK11" s="9">
        <v>-0.36949920668310665</v>
      </c>
    </row>
    <row r="12" spans="1:37" x14ac:dyDescent="0.3">
      <c r="A12" t="s">
        <v>25</v>
      </c>
      <c r="B12" s="3">
        <f t="shared" si="3"/>
        <v>0.90059171597633136</v>
      </c>
      <c r="C12" s="3">
        <f t="shared" si="3"/>
        <v>0.67814726840855111</v>
      </c>
      <c r="D12" s="3">
        <f t="shared" si="3"/>
        <v>0.65901262916188286</v>
      </c>
      <c r="E12" s="3">
        <f t="shared" si="3"/>
        <v>0.44226190476190474</v>
      </c>
      <c r="F12" s="3">
        <f t="shared" si="3"/>
        <v>0.59720605355064027</v>
      </c>
      <c r="G12" s="6">
        <f>MAX(B12:F12)</f>
        <v>0.90059171597633136</v>
      </c>
      <c r="H12" s="6">
        <f t="shared" si="4"/>
        <v>0.93661538461538463</v>
      </c>
      <c r="I12" s="6">
        <f t="shared" si="4"/>
        <v>0.97408000000000006</v>
      </c>
      <c r="J12" s="6">
        <f t="shared" si="4"/>
        <v>1.0130432</v>
      </c>
      <c r="K12" s="6">
        <f t="shared" si="4"/>
        <v>1.0535649280000001</v>
      </c>
      <c r="X12" s="9">
        <f t="shared" si="2"/>
        <v>5.4999999999999986E-2</v>
      </c>
      <c r="Y12" s="9">
        <v>-0.38307607127245824</v>
      </c>
      <c r="Z12" s="9">
        <v>-0.37847536250843938</v>
      </c>
      <c r="AA12" s="9">
        <v>-0.37387465374442008</v>
      </c>
      <c r="AB12" s="9">
        <v>-0.36927394498040012</v>
      </c>
      <c r="AC12" s="9">
        <v>-0.36467323621638148</v>
      </c>
      <c r="AD12" s="9">
        <v>-0.36007252745236185</v>
      </c>
      <c r="AE12" s="9">
        <v>-0.35547181868834321</v>
      </c>
      <c r="AF12" s="9">
        <v>-0.35087110992432391</v>
      </c>
      <c r="AG12" s="9">
        <v>-0.34627040116030527</v>
      </c>
      <c r="AH12" s="9">
        <v>-0.34166969239628542</v>
      </c>
      <c r="AI12" s="9">
        <v>-0.33706898363226556</v>
      </c>
      <c r="AJ12" s="9">
        <v>-0.33246827486824704</v>
      </c>
      <c r="AK12" s="9">
        <v>-0.32786756610422796</v>
      </c>
    </row>
    <row r="13" spans="1:37" x14ac:dyDescent="0.3">
      <c r="B13" s="3"/>
      <c r="C13" s="3"/>
      <c r="D13" s="3"/>
      <c r="E13" s="3"/>
      <c r="F13" s="3"/>
      <c r="G13" s="6"/>
      <c r="H13" s="6"/>
      <c r="I13" s="6"/>
      <c r="J13" s="6"/>
      <c r="K13" s="6"/>
      <c r="X13" s="9">
        <f t="shared" si="2"/>
        <v>5.9999999999999984E-2</v>
      </c>
      <c r="Y13" s="9">
        <v>-0.35146519522541453</v>
      </c>
      <c r="Z13" s="9">
        <v>-0.34598045348836193</v>
      </c>
      <c r="AA13" s="9">
        <v>-0.34049571175130933</v>
      </c>
      <c r="AB13" s="9">
        <v>-0.33501097001425695</v>
      </c>
      <c r="AC13" s="9">
        <v>-0.32952622827720435</v>
      </c>
      <c r="AD13" s="9">
        <v>-0.32404148654015186</v>
      </c>
      <c r="AE13" s="9">
        <v>-0.31855674480309959</v>
      </c>
      <c r="AF13" s="9">
        <v>-0.31307200306604765</v>
      </c>
      <c r="AG13" s="9">
        <v>-0.30758726132899539</v>
      </c>
      <c r="AH13" s="9">
        <v>-0.30210251959194201</v>
      </c>
      <c r="AI13" s="9">
        <v>-0.29661777785488985</v>
      </c>
      <c r="AJ13" s="9">
        <v>-0.29113303611783781</v>
      </c>
      <c r="AK13" s="9">
        <v>-0.28564829438078532</v>
      </c>
    </row>
    <row r="14" spans="1:37" x14ac:dyDescent="0.3">
      <c r="A14" t="s">
        <v>109</v>
      </c>
      <c r="B14" s="28">
        <v>0.04</v>
      </c>
      <c r="N14" s="18">
        <v>0.04</v>
      </c>
      <c r="O14" s="18">
        <v>0.05</v>
      </c>
      <c r="P14" s="18">
        <v>0.06</v>
      </c>
      <c r="X14" s="9">
        <f t="shared" si="2"/>
        <v>6.4999999999999988E-2</v>
      </c>
      <c r="Y14" s="9">
        <v>-0.31941213228754939</v>
      </c>
      <c r="Z14" s="9">
        <v>-0.31303076353390125</v>
      </c>
      <c r="AA14" s="9">
        <v>-0.30664939478025266</v>
      </c>
      <c r="AB14" s="9">
        <v>-0.30026802602660407</v>
      </c>
      <c r="AC14" s="9">
        <v>-0.29388665727295527</v>
      </c>
      <c r="AD14" s="9">
        <v>-0.28750528851930701</v>
      </c>
      <c r="AE14" s="9">
        <v>-0.28112391976565909</v>
      </c>
      <c r="AF14" s="9">
        <v>-0.27474255101200995</v>
      </c>
      <c r="AG14" s="9">
        <v>-0.2683611822583617</v>
      </c>
      <c r="AH14" s="9">
        <v>-0.26197981350471322</v>
      </c>
      <c r="AI14" s="9">
        <v>-0.25559844475106508</v>
      </c>
      <c r="AJ14" s="9">
        <v>-0.24921707599741605</v>
      </c>
      <c r="AK14" s="9">
        <v>-0.2428357072437678</v>
      </c>
    </row>
    <row r="15" spans="1:37" x14ac:dyDescent="0.3">
      <c r="X15" s="9">
        <f t="shared" si="2"/>
        <v>6.9999999999999993E-2</v>
      </c>
      <c r="Y15" s="9">
        <v>-0.28691262448136812</v>
      </c>
      <c r="Z15" s="9">
        <v>-0.27962191350246568</v>
      </c>
      <c r="AA15" s="9">
        <v>-0.27233120252356313</v>
      </c>
      <c r="AB15" s="9">
        <v>-0.26504049154465981</v>
      </c>
      <c r="AC15" s="9">
        <v>-0.25774978056575748</v>
      </c>
      <c r="AD15" s="9">
        <v>-0.25045906958685515</v>
      </c>
      <c r="AE15" s="9">
        <v>-0.24316835860795205</v>
      </c>
      <c r="AF15" s="9">
        <v>-0.23587764762904995</v>
      </c>
      <c r="AG15" s="9">
        <v>-0.22858693665014718</v>
      </c>
      <c r="AH15" s="9">
        <v>-0.22129622567124518</v>
      </c>
      <c r="AI15" s="9">
        <v>-0.21400551469234186</v>
      </c>
      <c r="AJ15" s="9">
        <v>-0.20671480371343909</v>
      </c>
      <c r="AK15" s="9">
        <v>-0.19942409273453621</v>
      </c>
    </row>
    <row r="16" spans="1:37" x14ac:dyDescent="0.3">
      <c r="A16" t="s">
        <v>31</v>
      </c>
      <c r="B16" s="9">
        <f>IS!B3/IS!B$2</f>
        <v>7.6477404403244492E-2</v>
      </c>
      <c r="C16" s="9">
        <f>IS!C3/IS!C$2</f>
        <v>3.4712950600801068E-2</v>
      </c>
      <c r="D16" s="9">
        <f>IS!D3/IS!D$2</f>
        <v>0</v>
      </c>
      <c r="E16" s="9">
        <f>IS!E3/IS!E$2</f>
        <v>0</v>
      </c>
      <c r="F16" s="9">
        <f>IS!F3/IS!F$2</f>
        <v>0</v>
      </c>
      <c r="G16" s="10">
        <v>0</v>
      </c>
      <c r="H16" s="10">
        <f t="shared" ref="H16:K20" si="5">G16</f>
        <v>0</v>
      </c>
      <c r="I16" s="10">
        <f t="shared" si="5"/>
        <v>0</v>
      </c>
      <c r="J16" s="10">
        <f t="shared" si="5"/>
        <v>0</v>
      </c>
      <c r="K16" s="10">
        <f t="shared" si="5"/>
        <v>0</v>
      </c>
      <c r="X16" s="9">
        <f t="shared" si="2"/>
        <v>7.4999999999999997E-2</v>
      </c>
      <c r="Y16" s="9">
        <v>-0.25396239315570746</v>
      </c>
      <c r="Z16" s="9">
        <v>-0.24574950299313592</v>
      </c>
      <c r="AA16" s="9">
        <v>-0.23753661283056338</v>
      </c>
      <c r="AB16" s="9">
        <v>-0.22932372266799061</v>
      </c>
      <c r="AC16" s="9">
        <v>-0.22111083250541941</v>
      </c>
      <c r="AD16" s="9">
        <v>-0.21289794234284731</v>
      </c>
      <c r="AE16" s="9">
        <v>-0.20468505218027466</v>
      </c>
      <c r="AF16" s="9">
        <v>-0.1964721620177029</v>
      </c>
      <c r="AG16" s="9">
        <v>-0.18825927185513103</v>
      </c>
      <c r="AH16" s="9">
        <v>-0.18004638169255838</v>
      </c>
      <c r="AI16" s="9">
        <v>-0.17183349152998595</v>
      </c>
      <c r="AJ16" s="9">
        <v>-0.16362060136741474</v>
      </c>
      <c r="AK16" s="9">
        <v>-0.1554077112048422</v>
      </c>
    </row>
    <row r="17" spans="1:31" x14ac:dyDescent="0.3">
      <c r="A17" s="8" t="s">
        <v>32</v>
      </c>
      <c r="B17" s="9">
        <f>IS!B4/IS!B$2</f>
        <v>5.9675550405561995E-2</v>
      </c>
      <c r="C17" s="9">
        <f>IS!C4/IS!C$2</f>
        <v>7.6101468624833107E-2</v>
      </c>
      <c r="D17" s="9">
        <f>IS!D4/IS!D$2</f>
        <v>6.0990338164251208E-2</v>
      </c>
      <c r="E17" s="9">
        <f>IS!E4/IS!E$2</f>
        <v>6.0835509138381198E-2</v>
      </c>
      <c r="F17" s="9">
        <f>IS!F4/IS!F$2</f>
        <v>6.1462324393358879E-2</v>
      </c>
      <c r="G17" s="10">
        <v>0.06</v>
      </c>
      <c r="H17" s="10">
        <f t="shared" si="5"/>
        <v>0.06</v>
      </c>
      <c r="I17" s="10">
        <f t="shared" si="5"/>
        <v>0.06</v>
      </c>
      <c r="J17" s="10">
        <f t="shared" si="5"/>
        <v>0.06</v>
      </c>
      <c r="K17" s="10">
        <f t="shared" si="5"/>
        <v>0.06</v>
      </c>
    </row>
    <row r="18" spans="1:31" x14ac:dyDescent="0.3">
      <c r="A18" s="8" t="s">
        <v>33</v>
      </c>
      <c r="B18" s="9">
        <f>IS!B5/IS!B$2</f>
        <v>0.11413673232908458</v>
      </c>
      <c r="C18" s="9">
        <f>IS!C5/IS!C$2</f>
        <v>0.28971962616822428</v>
      </c>
      <c r="D18" s="9">
        <f>IS!D5/IS!D$2</f>
        <v>0.16002415458937197</v>
      </c>
      <c r="E18" s="9">
        <f>IS!E5/IS!E$2</f>
        <v>0.11462140992167102</v>
      </c>
      <c r="F18" s="9">
        <f>IS!F5/IS!F$2</f>
        <v>0.10488505747126436</v>
      </c>
      <c r="G18" s="10">
        <v>0.11</v>
      </c>
      <c r="H18" s="10">
        <f t="shared" si="5"/>
        <v>0.11</v>
      </c>
      <c r="I18" s="10">
        <f t="shared" si="5"/>
        <v>0.11</v>
      </c>
      <c r="J18" s="10">
        <f t="shared" si="5"/>
        <v>0.11</v>
      </c>
      <c r="K18" s="10">
        <f t="shared" si="5"/>
        <v>0.11</v>
      </c>
    </row>
    <row r="19" spans="1:31" x14ac:dyDescent="0.3">
      <c r="A19" s="8" t="s">
        <v>34</v>
      </c>
      <c r="B19" s="9">
        <f>IS!B6/IS!B$2</f>
        <v>7.850521436848204E-2</v>
      </c>
      <c r="C19" s="9">
        <f>IS!C6/IS!C$2</f>
        <v>9.7463284379172233E-2</v>
      </c>
      <c r="D19" s="9">
        <f>IS!D6/IS!D$2</f>
        <v>6.5217391304347824E-2</v>
      </c>
      <c r="E19" s="9">
        <f>IS!E6/IS!E$2</f>
        <v>6.5274151436031339E-2</v>
      </c>
      <c r="F19" s="9">
        <f>IS!F6/IS!F$2</f>
        <v>6.0983397190293741E-2</v>
      </c>
      <c r="G19" s="10">
        <v>0.06</v>
      </c>
      <c r="H19" s="10">
        <f t="shared" si="5"/>
        <v>0.06</v>
      </c>
      <c r="I19" s="10">
        <f t="shared" si="5"/>
        <v>0.06</v>
      </c>
      <c r="J19" s="10">
        <f t="shared" si="5"/>
        <v>0.06</v>
      </c>
      <c r="K19" s="10">
        <f t="shared" si="5"/>
        <v>0.06</v>
      </c>
    </row>
    <row r="20" spans="1:31" x14ac:dyDescent="0.3">
      <c r="A20" s="8" t="s">
        <v>35</v>
      </c>
      <c r="B20" s="9">
        <f>IS!B7/IS!B$2</f>
        <v>0.34907300115874856</v>
      </c>
      <c r="C20" s="9">
        <f>IS!C7/IS!C$2</f>
        <v>0.32443257676902537</v>
      </c>
      <c r="D20" s="9">
        <f>IS!D7/IS!D$2</f>
        <v>0.45229468599033817</v>
      </c>
      <c r="E20" s="9">
        <f>IS!E7/IS!E$2</f>
        <v>0.46788511749347256</v>
      </c>
      <c r="F20" s="9">
        <f>IS!F7/IS!F$2</f>
        <v>0.45849297573435505</v>
      </c>
      <c r="G20" s="10">
        <v>0.45</v>
      </c>
      <c r="H20" s="10">
        <f t="shared" si="5"/>
        <v>0.45</v>
      </c>
      <c r="I20" s="10">
        <f t="shared" si="5"/>
        <v>0.45</v>
      </c>
      <c r="J20" s="10">
        <f t="shared" si="5"/>
        <v>0.45</v>
      </c>
      <c r="K20" s="10">
        <f t="shared" si="5"/>
        <v>0.45</v>
      </c>
    </row>
    <row r="23" spans="1:31" x14ac:dyDescent="0.3">
      <c r="A23" t="s">
        <v>67</v>
      </c>
      <c r="B23" s="4"/>
      <c r="C23" s="4">
        <f t="shared" ref="C23:K23" si="6">B26</f>
        <v>4898.3999999999996</v>
      </c>
      <c r="D23" s="4">
        <f t="shared" si="6"/>
        <v>4555.53</v>
      </c>
      <c r="E23" s="4">
        <f t="shared" si="6"/>
        <v>4343.43</v>
      </c>
      <c r="F23" s="4">
        <f t="shared" si="6"/>
        <v>8641.4</v>
      </c>
      <c r="G23" s="4">
        <f t="shared" si="6"/>
        <v>8916.9</v>
      </c>
      <c r="H23" s="4">
        <f t="shared" si="6"/>
        <v>8752.0143616091045</v>
      </c>
      <c r="I23" s="4">
        <f t="shared" si="6"/>
        <v>8594.6944653017654</v>
      </c>
      <c r="J23" s="4">
        <f t="shared" si="6"/>
        <v>8444.5931586283587</v>
      </c>
      <c r="K23" s="4">
        <f t="shared" si="6"/>
        <v>8301.3792181548106</v>
      </c>
      <c r="M23" t="s">
        <v>178</v>
      </c>
    </row>
    <row r="24" spans="1:31" x14ac:dyDescent="0.3">
      <c r="A24" t="s">
        <v>68</v>
      </c>
      <c r="B24" s="4"/>
      <c r="C24" s="4">
        <f>C26-C23+C25</f>
        <v>-128.86999999999989</v>
      </c>
      <c r="D24" s="4">
        <f>D26-D23+D25</f>
        <v>18.900000000000546</v>
      </c>
      <c r="E24" s="4">
        <f>E26-E23+E25</f>
        <v>4570.9699999999993</v>
      </c>
      <c r="F24" s="4">
        <f>F26-F23+F25</f>
        <v>702.5</v>
      </c>
      <c r="G24" s="4">
        <f>$B$30*G8</f>
        <v>250</v>
      </c>
      <c r="H24" s="4">
        <f>$B$30*H8</f>
        <v>250</v>
      </c>
      <c r="I24" s="4">
        <f>$B$30*I8</f>
        <v>250</v>
      </c>
      <c r="J24" s="4">
        <f>$B$30*J8</f>
        <v>250</v>
      </c>
      <c r="K24" s="4">
        <f>$B$30*K8</f>
        <v>250</v>
      </c>
    </row>
    <row r="25" spans="1:31" x14ac:dyDescent="0.3">
      <c r="A25" t="s">
        <v>69</v>
      </c>
      <c r="B25" s="4"/>
      <c r="C25" s="4">
        <v>214</v>
      </c>
      <c r="D25" s="4">
        <v>231</v>
      </c>
      <c r="E25" s="4">
        <v>273</v>
      </c>
      <c r="F25" s="4">
        <v>427</v>
      </c>
      <c r="G25" s="4">
        <f>(G23+G24/2)*G28</f>
        <v>414.88563839089454</v>
      </c>
      <c r="H25" s="4">
        <f>(H23+H24/2)*H28</f>
        <v>407.31989630733949</v>
      </c>
      <c r="I25" s="4">
        <f>(I23+I24/2)*I28</f>
        <v>400.10130667340638</v>
      </c>
      <c r="J25" s="4">
        <f>(J23+J24/2)*J28</f>
        <v>393.2139404735475</v>
      </c>
      <c r="K25" s="4">
        <f>(K23+K24/2)*K28</f>
        <v>386.64259959167055</v>
      </c>
    </row>
    <row r="26" spans="1:31" x14ac:dyDescent="0.3">
      <c r="A26" t="s">
        <v>70</v>
      </c>
      <c r="B26" s="4">
        <f>BS!B8</f>
        <v>4898.3999999999996</v>
      </c>
      <c r="C26" s="4">
        <f>BS!C8</f>
        <v>4555.53</v>
      </c>
      <c r="D26" s="4">
        <f>BS!D8</f>
        <v>4343.43</v>
      </c>
      <c r="E26" s="4">
        <f>BS!E8</f>
        <v>8641.4</v>
      </c>
      <c r="F26" s="4">
        <f>BS!F8</f>
        <v>8916.9</v>
      </c>
      <c r="G26" s="4">
        <f>G23+G24-G25</f>
        <v>8752.0143616091045</v>
      </c>
      <c r="H26" s="4">
        <f>H23+H24-H25</f>
        <v>8594.6944653017654</v>
      </c>
      <c r="I26" s="4">
        <f>I23+I24-I25</f>
        <v>8444.5931586283587</v>
      </c>
      <c r="J26" s="4">
        <f>J23+J24-J25</f>
        <v>8301.3792181548106</v>
      </c>
      <c r="K26" s="4">
        <f>K23+K24-K25</f>
        <v>8164.7366185631399</v>
      </c>
    </row>
    <row r="28" spans="1:31" x14ac:dyDescent="0.3">
      <c r="A28" t="s">
        <v>71</v>
      </c>
      <c r="C28" s="9">
        <f>C25/(C23+C24/2)</f>
        <v>4.4270076427942694E-2</v>
      </c>
      <c r="D28" s="9">
        <f>D25/(D23+D24/2)</f>
        <v>5.0602631336829518E-2</v>
      </c>
      <c r="E28" s="9">
        <f>E25/(E23+E24/2)</f>
        <v>4.1183210223694228E-2</v>
      </c>
      <c r="F28" s="9">
        <f>F25/(F23+F24/2)</f>
        <v>4.7483222409412135E-2</v>
      </c>
      <c r="G28" s="10">
        <f>AVERAGE(C28:F28)</f>
        <v>4.5884785099469645E-2</v>
      </c>
      <c r="H28" s="10">
        <f>G28</f>
        <v>4.5884785099469645E-2</v>
      </c>
      <c r="I28" s="10">
        <f>H28</f>
        <v>4.5884785099469645E-2</v>
      </c>
      <c r="J28" s="10">
        <f>I28</f>
        <v>4.5884785099469645E-2</v>
      </c>
      <c r="K28" s="10">
        <f>J28</f>
        <v>4.5884785099469645E-2</v>
      </c>
    </row>
    <row r="30" spans="1:31" x14ac:dyDescent="0.3">
      <c r="A30" t="s">
        <v>72</v>
      </c>
      <c r="B30">
        <v>5</v>
      </c>
      <c r="W30" s="3">
        <f>FCFE!B14</f>
        <v>518.94139219633485</v>
      </c>
      <c r="X30">
        <v>300</v>
      </c>
      <c r="Y30">
        <f>X30+100</f>
        <v>400</v>
      </c>
      <c r="Z30">
        <f t="shared" ref="Z30:AE30" si="7">Y30+100</f>
        <v>500</v>
      </c>
      <c r="AA30">
        <f t="shared" si="7"/>
        <v>600</v>
      </c>
      <c r="AB30">
        <f t="shared" si="7"/>
        <v>700</v>
      </c>
      <c r="AC30">
        <f t="shared" si="7"/>
        <v>800</v>
      </c>
      <c r="AD30">
        <f t="shared" si="7"/>
        <v>900</v>
      </c>
      <c r="AE30">
        <f t="shared" si="7"/>
        <v>1000</v>
      </c>
    </row>
    <row r="31" spans="1:31" x14ac:dyDescent="0.3">
      <c r="W31">
        <v>0</v>
      </c>
      <c r="X31" s="4">
        <f t="dataTable" ref="X31:AE38" dt2D="1" dtr="1" r1="G33" r2="G41" ca="1"/>
        <v>1208.4319780237327</v>
      </c>
      <c r="Y31" s="4">
        <v>1119.4460440308815</v>
      </c>
      <c r="Z31" s="4">
        <v>1030.4601100380307</v>
      </c>
      <c r="AA31" s="4">
        <v>941.47417604517966</v>
      </c>
      <c r="AB31" s="4">
        <v>852.48824205232859</v>
      </c>
      <c r="AC31" s="4">
        <v>763.50230805947751</v>
      </c>
      <c r="AD31" s="4">
        <v>674.51637406662667</v>
      </c>
      <c r="AE31" s="4">
        <v>585.53044007377571</v>
      </c>
    </row>
    <row r="32" spans="1:31" x14ac:dyDescent="0.3">
      <c r="A32" t="s">
        <v>140</v>
      </c>
      <c r="F32" s="4"/>
      <c r="G32" s="4">
        <f>F35</f>
        <v>5807.6</v>
      </c>
      <c r="H32" s="4">
        <f t="shared" ref="H32:K32" si="8">G35</f>
        <v>5807.6</v>
      </c>
      <c r="I32" s="4">
        <f t="shared" si="8"/>
        <v>5807.6</v>
      </c>
      <c r="J32" s="4">
        <f t="shared" si="8"/>
        <v>5807.6</v>
      </c>
      <c r="K32" s="4">
        <f t="shared" si="8"/>
        <v>5807.6</v>
      </c>
      <c r="W32">
        <f>W31+50</f>
        <v>50</v>
      </c>
      <c r="X32" s="4">
        <v>1176.9720042009112</v>
      </c>
      <c r="Y32" s="4">
        <v>1087.98607020806</v>
      </c>
      <c r="Z32" s="4">
        <v>999.0001362152093</v>
      </c>
      <c r="AA32" s="4">
        <v>910.01420222235822</v>
      </c>
      <c r="AB32" s="4">
        <v>821.02826822950726</v>
      </c>
      <c r="AC32" s="4">
        <v>732.04233423665619</v>
      </c>
      <c r="AD32" s="4">
        <v>643.05640024380534</v>
      </c>
      <c r="AE32" s="4">
        <v>554.07046625095427</v>
      </c>
    </row>
    <row r="33" spans="1:31" x14ac:dyDescent="0.3">
      <c r="A33" t="s">
        <v>68</v>
      </c>
      <c r="F33" s="4"/>
      <c r="G33" s="2">
        <f>HLOOKUP(M1,N:P,33,0)</f>
        <v>792</v>
      </c>
      <c r="H33" s="4">
        <f>G33</f>
        <v>792</v>
      </c>
      <c r="I33" s="4">
        <f t="shared" ref="I33:K33" si="9">H33</f>
        <v>792</v>
      </c>
      <c r="J33" s="4">
        <f t="shared" si="9"/>
        <v>792</v>
      </c>
      <c r="K33" s="4">
        <f t="shared" si="9"/>
        <v>792</v>
      </c>
      <c r="N33">
        <v>792</v>
      </c>
      <c r="O33">
        <v>600</v>
      </c>
      <c r="P33">
        <v>500</v>
      </c>
      <c r="W33">
        <f t="shared" ref="W33:W38" si="10">W32+50</f>
        <v>100</v>
      </c>
      <c r="X33" s="4">
        <v>1145.5120303780895</v>
      </c>
      <c r="Y33" s="4">
        <v>1056.5260963852386</v>
      </c>
      <c r="Z33" s="4">
        <v>967.54016239238751</v>
      </c>
      <c r="AA33" s="4">
        <v>878.55422839953667</v>
      </c>
      <c r="AB33" s="4">
        <v>789.5682944066856</v>
      </c>
      <c r="AC33" s="4">
        <v>700.58236041383475</v>
      </c>
      <c r="AD33" s="4">
        <v>611.5964264209839</v>
      </c>
      <c r="AE33" s="4">
        <v>522.61049242813294</v>
      </c>
    </row>
    <row r="34" spans="1:31" x14ac:dyDescent="0.3">
      <c r="A34" t="s">
        <v>168</v>
      </c>
      <c r="F34" s="4"/>
      <c r="G34" s="4">
        <f>G37</f>
        <v>792</v>
      </c>
      <c r="H34" s="4">
        <f t="shared" ref="H34:K34" si="11">H37</f>
        <v>792</v>
      </c>
      <c r="I34" s="4">
        <f t="shared" si="11"/>
        <v>792</v>
      </c>
      <c r="J34" s="4">
        <f t="shared" si="11"/>
        <v>792</v>
      </c>
      <c r="K34" s="4">
        <f t="shared" si="11"/>
        <v>792</v>
      </c>
      <c r="W34">
        <f t="shared" si="10"/>
        <v>150</v>
      </c>
      <c r="X34" s="4">
        <v>1114.0520565552686</v>
      </c>
      <c r="Y34" s="4">
        <v>1025.0661225624178</v>
      </c>
      <c r="Z34" s="4">
        <v>936.08018856956664</v>
      </c>
      <c r="AA34" s="4">
        <v>847.0942545767158</v>
      </c>
      <c r="AB34" s="4">
        <v>758.10832058386472</v>
      </c>
      <c r="AC34" s="4">
        <v>669.12238659101365</v>
      </c>
      <c r="AD34" s="4">
        <v>580.13645259816269</v>
      </c>
      <c r="AE34" s="4">
        <v>491.15051860531179</v>
      </c>
    </row>
    <row r="35" spans="1:31" x14ac:dyDescent="0.3">
      <c r="A35" t="s">
        <v>141</v>
      </c>
      <c r="F35" s="4">
        <f>BS!F9</f>
        <v>5807.6</v>
      </c>
      <c r="G35" s="4">
        <f>G32+G33-G34</f>
        <v>5807.6</v>
      </c>
      <c r="H35" s="4">
        <f t="shared" ref="H35:K35" si="12">H32+H33-H34</f>
        <v>5807.6</v>
      </c>
      <c r="I35" s="4">
        <f t="shared" si="12"/>
        <v>5807.6</v>
      </c>
      <c r="J35" s="4">
        <f t="shared" si="12"/>
        <v>5807.6</v>
      </c>
      <c r="K35" s="4">
        <f t="shared" si="12"/>
        <v>5807.6</v>
      </c>
      <c r="W35">
        <f t="shared" si="10"/>
        <v>200</v>
      </c>
      <c r="X35" s="4">
        <v>1082.5920827324469</v>
      </c>
      <c r="Y35" s="4">
        <v>993.60614873959605</v>
      </c>
      <c r="Z35" s="4">
        <v>904.62021474674498</v>
      </c>
      <c r="AA35" s="4">
        <v>815.63428075389413</v>
      </c>
      <c r="AB35" s="4">
        <v>726.64834676104317</v>
      </c>
      <c r="AC35" s="4">
        <v>637.6624127681921</v>
      </c>
      <c r="AD35" s="4">
        <v>548.67647877534114</v>
      </c>
      <c r="AE35" s="4">
        <v>459.69054478249012</v>
      </c>
    </row>
    <row r="36" spans="1:31" x14ac:dyDescent="0.3">
      <c r="W36">
        <f t="shared" si="10"/>
        <v>250</v>
      </c>
      <c r="X36" s="4">
        <v>1051.1321089096257</v>
      </c>
      <c r="Y36" s="4">
        <v>962.14617491677484</v>
      </c>
      <c r="Z36" s="4">
        <v>873.16024092392399</v>
      </c>
      <c r="AA36" s="4">
        <v>784.17430693107292</v>
      </c>
      <c r="AB36" s="4">
        <v>695.18837293822207</v>
      </c>
      <c r="AC36" s="4">
        <v>606.202438945371</v>
      </c>
      <c r="AD36" s="4">
        <v>517.21650495251993</v>
      </c>
      <c r="AE36" s="4">
        <v>428.23057095966914</v>
      </c>
    </row>
    <row r="37" spans="1:31" x14ac:dyDescent="0.3">
      <c r="A37" t="s">
        <v>73</v>
      </c>
      <c r="C37" s="5">
        <f>IS!C9-C25</f>
        <v>361</v>
      </c>
      <c r="D37" s="5">
        <f>IS!D9-D25</f>
        <v>383</v>
      </c>
      <c r="E37" s="5">
        <f>IS!E9-E25</f>
        <v>480</v>
      </c>
      <c r="F37" s="5">
        <f>IS!F9-F25</f>
        <v>792</v>
      </c>
      <c r="G37" s="5">
        <f>F37</f>
        <v>792</v>
      </c>
      <c r="H37" s="5">
        <f>G37</f>
        <v>792</v>
      </c>
      <c r="I37" s="5">
        <f>H37</f>
        <v>792</v>
      </c>
      <c r="J37" s="5">
        <f>I37</f>
        <v>792</v>
      </c>
      <c r="K37" s="5">
        <f>J37</f>
        <v>792</v>
      </c>
      <c r="W37">
        <f t="shared" si="10"/>
        <v>300</v>
      </c>
      <c r="X37" s="4">
        <v>1019.6721350868042</v>
      </c>
      <c r="Y37" s="4">
        <v>930.6862010939534</v>
      </c>
      <c r="Z37" s="4">
        <v>841.70026710110233</v>
      </c>
      <c r="AA37" s="4">
        <v>752.71433310825137</v>
      </c>
      <c r="AB37" s="4">
        <v>663.72839911540029</v>
      </c>
      <c r="AC37" s="4">
        <v>574.74246512254933</v>
      </c>
      <c r="AD37" s="4">
        <v>485.75653112969837</v>
      </c>
      <c r="AE37" s="4">
        <v>396.77059713684747</v>
      </c>
    </row>
    <row r="38" spans="1:31" x14ac:dyDescent="0.3">
      <c r="W38">
        <f t="shared" si="10"/>
        <v>350</v>
      </c>
      <c r="X38" s="4">
        <v>988.21216126398315</v>
      </c>
      <c r="Y38" s="4">
        <v>899.22622727113196</v>
      </c>
      <c r="Z38" s="4">
        <v>810.240293278281</v>
      </c>
      <c r="AA38" s="4">
        <v>721.25435928543027</v>
      </c>
      <c r="AB38" s="4">
        <v>632.26842529257931</v>
      </c>
      <c r="AC38" s="4">
        <v>543.28249129972835</v>
      </c>
      <c r="AD38" s="4">
        <v>454.29655730687733</v>
      </c>
      <c r="AE38" s="4">
        <v>365.31062331402637</v>
      </c>
    </row>
    <row r="39" spans="1:31" x14ac:dyDescent="0.3">
      <c r="A39" t="s">
        <v>123</v>
      </c>
      <c r="C39" s="4"/>
      <c r="D39" s="4">
        <f t="shared" ref="D39:K39" si="13">C42</f>
        <v>4389.41</v>
      </c>
      <c r="E39" s="4">
        <f t="shared" si="13"/>
        <v>4447.17</v>
      </c>
      <c r="F39" s="4">
        <f t="shared" si="13"/>
        <v>7056.3</v>
      </c>
      <c r="G39" s="4">
        <f t="shared" si="13"/>
        <v>7053.9</v>
      </c>
      <c r="H39" s="4">
        <f t="shared" si="13"/>
        <v>6653.9</v>
      </c>
      <c r="I39" s="4">
        <f t="shared" si="13"/>
        <v>6253.9</v>
      </c>
      <c r="J39" s="4">
        <f t="shared" si="13"/>
        <v>5853.9</v>
      </c>
      <c r="K39" s="4">
        <f t="shared" si="13"/>
        <v>5453.9</v>
      </c>
    </row>
    <row r="40" spans="1:31" x14ac:dyDescent="0.3">
      <c r="A40" t="s">
        <v>83</v>
      </c>
      <c r="C40" s="4"/>
      <c r="D40" s="4"/>
      <c r="E40" s="4"/>
      <c r="F40" s="4"/>
    </row>
    <row r="41" spans="1:31" x14ac:dyDescent="0.3">
      <c r="A41" t="s">
        <v>84</v>
      </c>
      <c r="C41" s="4"/>
      <c r="D41" s="4"/>
      <c r="E41" s="4"/>
      <c r="F41" s="4"/>
      <c r="G41" s="15">
        <v>400</v>
      </c>
      <c r="H41" s="5">
        <f>G41</f>
        <v>400</v>
      </c>
      <c r="I41" s="5">
        <f>H41</f>
        <v>400</v>
      </c>
      <c r="J41" s="5">
        <f>I41</f>
        <v>400</v>
      </c>
      <c r="K41" s="5">
        <f>J41</f>
        <v>400</v>
      </c>
      <c r="N41">
        <v>400</v>
      </c>
      <c r="O41">
        <v>300</v>
      </c>
      <c r="P41">
        <v>200</v>
      </c>
    </row>
    <row r="42" spans="1:31" x14ac:dyDescent="0.3">
      <c r="A42" t="s">
        <v>124</v>
      </c>
      <c r="C42" s="4">
        <f>BS!C20</f>
        <v>4389.41</v>
      </c>
      <c r="D42" s="4">
        <f>BS!D20</f>
        <v>4447.17</v>
      </c>
      <c r="E42" s="4">
        <f>BS!E20</f>
        <v>7056.3</v>
      </c>
      <c r="F42" s="4">
        <f>BS!F20</f>
        <v>7053.9</v>
      </c>
      <c r="G42" s="5">
        <f>G39+G40-G41</f>
        <v>6653.9</v>
      </c>
      <c r="H42" s="5">
        <f>H39+H40-H41</f>
        <v>6253.9</v>
      </c>
      <c r="I42" s="5">
        <f>I39+I40-I41</f>
        <v>5853.9</v>
      </c>
      <c r="J42" s="5">
        <f>J39+J40-J41</f>
        <v>5453.9</v>
      </c>
      <c r="K42" s="5">
        <f>K39+K40-K41</f>
        <v>5053.8999999999996</v>
      </c>
    </row>
    <row r="43" spans="1:31" x14ac:dyDescent="0.3">
      <c r="C43" s="4"/>
      <c r="D43" s="4"/>
      <c r="E43" s="4"/>
      <c r="F43" s="4"/>
    </row>
    <row r="44" spans="1:31" x14ac:dyDescent="0.3">
      <c r="A44" t="s">
        <v>82</v>
      </c>
      <c r="C44" s="4">
        <f>IS!C11</f>
        <v>498</v>
      </c>
      <c r="D44" s="4">
        <f>IS!D11</f>
        <v>498</v>
      </c>
      <c r="E44" s="4">
        <f>IS!E11</f>
        <v>572</v>
      </c>
      <c r="F44" s="4">
        <f>IS!F11</f>
        <v>791</v>
      </c>
      <c r="G44" s="4">
        <f>AVERAGE(G39,G42)*G45</f>
        <v>740.85865444520607</v>
      </c>
      <c r="H44" s="4">
        <f>AVERAGE(H39,H42)*H45</f>
        <v>697.62145200891689</v>
      </c>
      <c r="I44" s="4">
        <f>AVERAGE(I39,I42)*I45</f>
        <v>654.38424957262771</v>
      </c>
      <c r="J44" s="4">
        <f>AVERAGE(J39,J42)*J45</f>
        <v>611.14704713633853</v>
      </c>
      <c r="K44" s="4">
        <f>AVERAGE(K39,K42)*K45</f>
        <v>567.90984470004935</v>
      </c>
    </row>
    <row r="45" spans="1:31" x14ac:dyDescent="0.3">
      <c r="A45" t="s">
        <v>125</v>
      </c>
      <c r="D45" s="21">
        <f>D44/AVERAGE(D39,D42)</f>
        <v>0.11271328953056499</v>
      </c>
      <c r="E45" s="21">
        <f>E44/AVERAGE(E39,E42)</f>
        <v>9.9448253440048956E-2</v>
      </c>
      <c r="F45" s="21">
        <f>F44/AVERAGE(F39,F42)</f>
        <v>0.1121174753015549</v>
      </c>
      <c r="G45" s="18">
        <f>AVERAGE(D45:F45)</f>
        <v>0.10809300609072296</v>
      </c>
      <c r="H45" s="18">
        <f>G45</f>
        <v>0.10809300609072296</v>
      </c>
      <c r="I45" s="18">
        <f>H45</f>
        <v>0.10809300609072296</v>
      </c>
      <c r="J45" s="18">
        <f>I45</f>
        <v>0.10809300609072296</v>
      </c>
      <c r="K45" s="18">
        <f>J45</f>
        <v>0.10809300609072296</v>
      </c>
    </row>
    <row r="46" spans="1:31" x14ac:dyDescent="0.3">
      <c r="G46" s="6"/>
    </row>
    <row r="47" spans="1:31" x14ac:dyDescent="0.3">
      <c r="G47" s="6"/>
    </row>
  </sheetData>
  <dataValidations count="1">
    <dataValidation type="list" allowBlank="1" showInputMessage="1" showErrorMessage="1" sqref="M1:M2 M23" xr:uid="{C57992ED-DD79-42A4-87D4-0DF466DB7D37}">
      <formula1>$N$1:$P$1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EC1D-67E6-494F-87D4-6C6EF9FC7CC8}">
  <dimension ref="A1:BJ23"/>
  <sheetViews>
    <sheetView zoomScale="159" workbookViewId="0">
      <selection activeCell="A2" sqref="A2:XFD7"/>
    </sheetView>
  </sheetViews>
  <sheetFormatPr defaultRowHeight="14.4" x14ac:dyDescent="0.3"/>
  <cols>
    <col min="1" max="1" width="22.44140625" bestFit="1" customWidth="1"/>
  </cols>
  <sheetData>
    <row r="1" spans="1:62" x14ac:dyDescent="0.3">
      <c r="B1">
        <v>1</v>
      </c>
      <c r="C1">
        <v>2</v>
      </c>
      <c r="D1">
        <v>3</v>
      </c>
      <c r="E1">
        <v>4</v>
      </c>
      <c r="F1">
        <v>5</v>
      </c>
    </row>
    <row r="2" spans="1:62" x14ac:dyDescent="0.3">
      <c r="A2" t="s">
        <v>169</v>
      </c>
      <c r="B2" s="37">
        <v>50</v>
      </c>
      <c r="C2" s="37">
        <f>B5</f>
        <v>41.810125960262731</v>
      </c>
      <c r="D2" s="37">
        <f t="shared" ref="D2:F2" si="0">C5</f>
        <v>32.801264516551733</v>
      </c>
      <c r="E2" s="37">
        <f t="shared" si="0"/>
        <v>22.891516928469635</v>
      </c>
      <c r="F2" s="37">
        <f t="shared" si="0"/>
        <v>11.990794581579328</v>
      </c>
    </row>
    <row r="3" spans="1:62" x14ac:dyDescent="0.3">
      <c r="A3" t="s">
        <v>170</v>
      </c>
      <c r="B3" s="37">
        <f>B2*$B$9</f>
        <v>5</v>
      </c>
      <c r="C3" s="37">
        <f t="shared" ref="C3:F3" si="1">C2*$B$9</f>
        <v>4.1810125960262736</v>
      </c>
      <c r="D3" s="37">
        <f t="shared" si="1"/>
        <v>3.2801264516551734</v>
      </c>
      <c r="E3" s="37">
        <f t="shared" si="1"/>
        <v>2.2891516928469637</v>
      </c>
      <c r="F3" s="37">
        <f t="shared" si="1"/>
        <v>1.1990794581579329</v>
      </c>
    </row>
    <row r="4" spans="1:62" x14ac:dyDescent="0.3">
      <c r="A4" t="s">
        <v>171</v>
      </c>
      <c r="B4" s="37">
        <f>$B$10</f>
        <v>13.189874039737271</v>
      </c>
      <c r="C4" s="37">
        <f t="shared" ref="C4:F4" si="2">$B$10</f>
        <v>13.189874039737271</v>
      </c>
      <c r="D4" s="37">
        <f t="shared" si="2"/>
        <v>13.189874039737271</v>
      </c>
      <c r="E4" s="37">
        <f t="shared" si="2"/>
        <v>13.189874039737271</v>
      </c>
      <c r="F4" s="37">
        <f t="shared" si="2"/>
        <v>13.189874039737271</v>
      </c>
    </row>
    <row r="5" spans="1:62" x14ac:dyDescent="0.3">
      <c r="A5" t="s">
        <v>172</v>
      </c>
      <c r="B5" s="37">
        <f>B2+B3-B4</f>
        <v>41.810125960262731</v>
      </c>
      <c r="C5" s="37">
        <f t="shared" ref="C5:F5" si="3">C2+C3-C4</f>
        <v>32.801264516551733</v>
      </c>
      <c r="D5" s="37">
        <f t="shared" si="3"/>
        <v>22.891516928469635</v>
      </c>
      <c r="E5" s="37">
        <f t="shared" si="3"/>
        <v>11.990794581579328</v>
      </c>
      <c r="F5" s="37">
        <f t="shared" si="3"/>
        <v>0</v>
      </c>
    </row>
    <row r="7" spans="1:62" x14ac:dyDescent="0.3">
      <c r="A7" t="s">
        <v>174</v>
      </c>
      <c r="B7" s="6">
        <f>B4-B3</f>
        <v>8.1898740397372709</v>
      </c>
      <c r="C7" s="6">
        <f t="shared" ref="C7:F7" si="4">C4-C3</f>
        <v>9.0088614437109982</v>
      </c>
      <c r="D7" s="6">
        <f t="shared" si="4"/>
        <v>9.909747588082098</v>
      </c>
      <c r="E7" s="6">
        <f t="shared" si="4"/>
        <v>10.900722346890307</v>
      </c>
      <c r="F7" s="6">
        <f t="shared" si="4"/>
        <v>11.990794581579339</v>
      </c>
      <c r="G7" s="6">
        <f>SUM(B7:F7)</f>
        <v>50.000000000000007</v>
      </c>
    </row>
    <row r="9" spans="1:62" x14ac:dyDescent="0.3">
      <c r="A9" t="s">
        <v>125</v>
      </c>
      <c r="B9" s="18">
        <v>0.1</v>
      </c>
    </row>
    <row r="10" spans="1:62" x14ac:dyDescent="0.3">
      <c r="A10" t="s">
        <v>173</v>
      </c>
      <c r="B10" s="3">
        <f>PMT(B9,5,-B2)</f>
        <v>13.189874039737271</v>
      </c>
    </row>
    <row r="13" spans="1:62" x14ac:dyDescent="0.3">
      <c r="B13">
        <v>1</v>
      </c>
      <c r="C13">
        <f>B13+1</f>
        <v>2</v>
      </c>
      <c r="D13">
        <f t="shared" ref="D13:BI13" si="5">C13+1</f>
        <v>3</v>
      </c>
      <c r="E13">
        <f t="shared" si="5"/>
        <v>4</v>
      </c>
      <c r="F13">
        <f t="shared" si="5"/>
        <v>5</v>
      </c>
      <c r="G13">
        <f t="shared" si="5"/>
        <v>6</v>
      </c>
      <c r="H13">
        <f t="shared" si="5"/>
        <v>7</v>
      </c>
      <c r="I13">
        <f t="shared" si="5"/>
        <v>8</v>
      </c>
      <c r="J13">
        <f t="shared" si="5"/>
        <v>9</v>
      </c>
      <c r="K13">
        <f t="shared" si="5"/>
        <v>10</v>
      </c>
      <c r="L13">
        <f t="shared" si="5"/>
        <v>11</v>
      </c>
      <c r="M13">
        <f t="shared" si="5"/>
        <v>12</v>
      </c>
      <c r="N13">
        <f t="shared" si="5"/>
        <v>13</v>
      </c>
      <c r="O13">
        <f t="shared" si="5"/>
        <v>14</v>
      </c>
      <c r="P13">
        <f t="shared" si="5"/>
        <v>15</v>
      </c>
      <c r="Q13">
        <f t="shared" si="5"/>
        <v>16</v>
      </c>
      <c r="R13">
        <f t="shared" si="5"/>
        <v>17</v>
      </c>
      <c r="S13">
        <f t="shared" si="5"/>
        <v>18</v>
      </c>
      <c r="T13">
        <f t="shared" si="5"/>
        <v>19</v>
      </c>
      <c r="U13">
        <f t="shared" si="5"/>
        <v>20</v>
      </c>
      <c r="V13">
        <f t="shared" si="5"/>
        <v>21</v>
      </c>
      <c r="W13">
        <f t="shared" si="5"/>
        <v>22</v>
      </c>
      <c r="X13">
        <f t="shared" si="5"/>
        <v>23</v>
      </c>
      <c r="Y13">
        <f t="shared" si="5"/>
        <v>24</v>
      </c>
      <c r="Z13">
        <f t="shared" si="5"/>
        <v>25</v>
      </c>
      <c r="AA13">
        <f t="shared" si="5"/>
        <v>26</v>
      </c>
      <c r="AB13">
        <f t="shared" si="5"/>
        <v>27</v>
      </c>
      <c r="AC13">
        <f t="shared" si="5"/>
        <v>28</v>
      </c>
      <c r="AD13">
        <f t="shared" si="5"/>
        <v>29</v>
      </c>
      <c r="AE13">
        <f t="shared" si="5"/>
        <v>30</v>
      </c>
      <c r="AF13">
        <f t="shared" si="5"/>
        <v>31</v>
      </c>
      <c r="AG13">
        <f t="shared" si="5"/>
        <v>32</v>
      </c>
      <c r="AH13">
        <f t="shared" si="5"/>
        <v>33</v>
      </c>
      <c r="AI13">
        <f t="shared" si="5"/>
        <v>34</v>
      </c>
      <c r="AJ13">
        <f t="shared" si="5"/>
        <v>35</v>
      </c>
      <c r="AK13">
        <f t="shared" si="5"/>
        <v>36</v>
      </c>
      <c r="AL13">
        <f t="shared" si="5"/>
        <v>37</v>
      </c>
      <c r="AM13">
        <f t="shared" si="5"/>
        <v>38</v>
      </c>
      <c r="AN13">
        <f t="shared" si="5"/>
        <v>39</v>
      </c>
      <c r="AO13">
        <f t="shared" si="5"/>
        <v>40</v>
      </c>
      <c r="AP13">
        <f t="shared" si="5"/>
        <v>41</v>
      </c>
      <c r="AQ13">
        <f t="shared" si="5"/>
        <v>42</v>
      </c>
      <c r="AR13">
        <f t="shared" si="5"/>
        <v>43</v>
      </c>
      <c r="AS13">
        <f t="shared" si="5"/>
        <v>44</v>
      </c>
      <c r="AT13">
        <f t="shared" si="5"/>
        <v>45</v>
      </c>
      <c r="AU13">
        <f t="shared" si="5"/>
        <v>46</v>
      </c>
      <c r="AV13">
        <f t="shared" si="5"/>
        <v>47</v>
      </c>
      <c r="AW13">
        <f t="shared" si="5"/>
        <v>48</v>
      </c>
      <c r="AX13">
        <f t="shared" si="5"/>
        <v>49</v>
      </c>
      <c r="AY13">
        <f t="shared" si="5"/>
        <v>50</v>
      </c>
      <c r="AZ13">
        <f t="shared" si="5"/>
        <v>51</v>
      </c>
      <c r="BA13">
        <f t="shared" si="5"/>
        <v>52</v>
      </c>
      <c r="BB13">
        <f t="shared" si="5"/>
        <v>53</v>
      </c>
      <c r="BC13">
        <f t="shared" si="5"/>
        <v>54</v>
      </c>
      <c r="BD13">
        <f t="shared" si="5"/>
        <v>55</v>
      </c>
      <c r="BE13">
        <f t="shared" si="5"/>
        <v>56</v>
      </c>
      <c r="BF13">
        <f t="shared" si="5"/>
        <v>57</v>
      </c>
      <c r="BG13">
        <f t="shared" si="5"/>
        <v>58</v>
      </c>
      <c r="BH13">
        <f t="shared" si="5"/>
        <v>59</v>
      </c>
      <c r="BI13">
        <f t="shared" si="5"/>
        <v>60</v>
      </c>
    </row>
    <row r="14" spans="1:62" x14ac:dyDescent="0.3">
      <c r="A14" t="s">
        <v>169</v>
      </c>
      <c r="B14" s="37">
        <v>80</v>
      </c>
      <c r="C14" s="37">
        <f>B17</f>
        <v>78.966903089765211</v>
      </c>
      <c r="D14" s="37">
        <f t="shared" ref="D14:BI14" si="6">C17</f>
        <v>77.925197038611799</v>
      </c>
      <c r="E14" s="37">
        <f t="shared" si="6"/>
        <v>76.874810103698763</v>
      </c>
      <c r="F14" s="37">
        <f t="shared" si="6"/>
        <v>75.815669944328121</v>
      </c>
      <c r="G14" s="37">
        <f t="shared" si="6"/>
        <v>74.747703616962724</v>
      </c>
      <c r="H14" s="37">
        <f t="shared" si="6"/>
        <v>73.670837570202622</v>
      </c>
      <c r="I14" s="37">
        <f t="shared" si="6"/>
        <v>72.584997639719518</v>
      </c>
      <c r="J14" s="37">
        <f t="shared" si="6"/>
        <v>71.490109043149047</v>
      </c>
      <c r="K14" s="37">
        <f t="shared" si="6"/>
        <v>70.386096374940493</v>
      </c>
      <c r="L14" s="37">
        <f t="shared" si="6"/>
        <v>69.272883601163542</v>
      </c>
      <c r="M14" s="37">
        <f t="shared" si="6"/>
        <v>68.150394054271771</v>
      </c>
      <c r="N14" s="37">
        <f t="shared" si="6"/>
        <v>67.018550427822575</v>
      </c>
      <c r="O14" s="37">
        <f t="shared" si="6"/>
        <v>65.877274771152969</v>
      </c>
      <c r="P14" s="37">
        <f t="shared" si="6"/>
        <v>64.726488484011114</v>
      </c>
      <c r="Q14" s="37">
        <f t="shared" si="6"/>
        <v>63.566112311143073</v>
      </c>
      <c r="R14" s="37">
        <f t="shared" si="6"/>
        <v>62.396066336834465</v>
      </c>
      <c r="S14" s="37">
        <f t="shared" si="6"/>
        <v>61.216269979406626</v>
      </c>
      <c r="T14" s="37">
        <f t="shared" si="6"/>
        <v>60.026641985666885</v>
      </c>
      <c r="U14" s="37">
        <f t="shared" si="6"/>
        <v>58.827100425312651</v>
      </c>
      <c r="V14" s="37">
        <f t="shared" si="6"/>
        <v>57.617562685288796</v>
      </c>
      <c r="W14" s="37">
        <f t="shared" si="6"/>
        <v>56.397945464098072</v>
      </c>
      <c r="X14" s="37">
        <f t="shared" si="6"/>
        <v>55.168164766064095</v>
      </c>
      <c r="Y14" s="37">
        <f t="shared" si="6"/>
        <v>53.928135895546504</v>
      </c>
      <c r="Z14" s="37">
        <f t="shared" si="6"/>
        <v>52.677773451107932</v>
      </c>
      <c r="AA14" s="37">
        <f t="shared" si="6"/>
        <v>51.416991319632373</v>
      </c>
      <c r="AB14" s="37">
        <f t="shared" si="6"/>
        <v>50.145702670394513</v>
      </c>
      <c r="AC14" s="37">
        <f t="shared" si="6"/>
        <v>48.863819949079677</v>
      </c>
      <c r="AD14" s="37">
        <f t="shared" si="6"/>
        <v>47.571254871753879</v>
      </c>
      <c r="AE14" s="37">
        <f t="shared" si="6"/>
        <v>46.267918418783701</v>
      </c>
      <c r="AF14" s="37">
        <f t="shared" si="6"/>
        <v>44.953720828705436</v>
      </c>
      <c r="AG14" s="37">
        <f t="shared" si="6"/>
        <v>43.628571592043187</v>
      </c>
      <c r="AH14" s="37">
        <f t="shared" si="6"/>
        <v>42.292379445075419</v>
      </c>
      <c r="AI14" s="37">
        <f t="shared" si="6"/>
        <v>40.945052363549586</v>
      </c>
      <c r="AJ14" s="37">
        <f t="shared" si="6"/>
        <v>39.586497556344369</v>
      </c>
      <c r="AK14" s="37">
        <f t="shared" si="6"/>
        <v>38.216621459079114</v>
      </c>
      <c r="AL14" s="37">
        <f t="shared" si="6"/>
        <v>36.835329727669979</v>
      </c>
      <c r="AM14" s="37">
        <f t="shared" si="6"/>
        <v>35.442527231832436</v>
      </c>
      <c r="AN14" s="37">
        <f t="shared" si="6"/>
        <v>34.038118048529576</v>
      </c>
      <c r="AO14" s="37">
        <f t="shared" si="6"/>
        <v>32.622005455365858</v>
      </c>
      <c r="AP14" s="37">
        <f t="shared" si="6"/>
        <v>31.194091923925782</v>
      </c>
      <c r="AQ14" s="37">
        <f t="shared" si="6"/>
        <v>29.754279113057038</v>
      </c>
      <c r="AR14" s="37">
        <f t="shared" si="6"/>
        <v>28.302467862097718</v>
      </c>
      <c r="AS14" s="37">
        <f t="shared" si="6"/>
        <v>26.83855818404707</v>
      </c>
      <c r="AT14" s="37">
        <f t="shared" si="6"/>
        <v>25.362449258679334</v>
      </c>
      <c r="AU14" s="37">
        <f t="shared" si="6"/>
        <v>23.874039425600202</v>
      </c>
      <c r="AV14" s="37">
        <f t="shared" si="6"/>
        <v>22.37322617724541</v>
      </c>
      <c r="AW14" s="37">
        <f t="shared" si="6"/>
        <v>20.859906151820994</v>
      </c>
      <c r="AX14" s="37">
        <f t="shared" si="6"/>
        <v>19.333975126184708</v>
      </c>
      <c r="AY14" s="37">
        <f t="shared" si="6"/>
        <v>17.795328008668118</v>
      </c>
      <c r="AZ14" s="37">
        <f t="shared" si="6"/>
        <v>16.243858831838892</v>
      </c>
      <c r="BA14" s="37">
        <f t="shared" si="6"/>
        <v>14.679460745202755</v>
      </c>
      <c r="BB14" s="37">
        <f t="shared" si="6"/>
        <v>13.10202600784465</v>
      </c>
      <c r="BC14" s="37">
        <f t="shared" si="6"/>
        <v>11.51144598100856</v>
      </c>
      <c r="BD14" s="37">
        <f t="shared" si="6"/>
        <v>9.9076111206155026</v>
      </c>
      <c r="BE14" s="37">
        <f t="shared" si="6"/>
        <v>8.2904109697191686</v>
      </c>
      <c r="BF14" s="37">
        <f t="shared" si="6"/>
        <v>6.6597341508986982</v>
      </c>
      <c r="BG14" s="37">
        <f t="shared" si="6"/>
        <v>5.0154683585880591</v>
      </c>
      <c r="BH14" s="37">
        <f t="shared" si="6"/>
        <v>3.3575003513414976</v>
      </c>
      <c r="BI14" s="37">
        <f t="shared" si="6"/>
        <v>1.6857159440345479</v>
      </c>
    </row>
    <row r="15" spans="1:62" x14ac:dyDescent="0.3">
      <c r="A15" t="s">
        <v>170</v>
      </c>
      <c r="B15" s="37">
        <f>B14*$B$19/12</f>
        <v>0.66666666666666663</v>
      </c>
      <c r="C15" s="37">
        <f>C14*$B$19/12</f>
        <v>0.65805752574804344</v>
      </c>
      <c r="D15" s="37">
        <f t="shared" ref="D15:BI15" si="7">D14*$B$19/12</f>
        <v>0.6493766419884317</v>
      </c>
      <c r="E15" s="37">
        <f t="shared" si="7"/>
        <v>0.64062341753082308</v>
      </c>
      <c r="F15" s="37">
        <f t="shared" si="7"/>
        <v>0.63179724953606764</v>
      </c>
      <c r="G15" s="37">
        <f t="shared" si="7"/>
        <v>0.62289753014135607</v>
      </c>
      <c r="H15" s="37">
        <f t="shared" si="7"/>
        <v>0.61392364641835517</v>
      </c>
      <c r="I15" s="37">
        <f t="shared" si="7"/>
        <v>0.60487498033099596</v>
      </c>
      <c r="J15" s="37">
        <f t="shared" si="7"/>
        <v>0.59575090869290881</v>
      </c>
      <c r="K15" s="37">
        <f t="shared" si="7"/>
        <v>0.58655080312450414</v>
      </c>
      <c r="L15" s="37">
        <f t="shared" si="7"/>
        <v>0.57727403000969624</v>
      </c>
      <c r="M15" s="37">
        <f t="shared" si="7"/>
        <v>0.56791995045226484</v>
      </c>
      <c r="N15" s="37">
        <f t="shared" si="7"/>
        <v>0.55848792023185478</v>
      </c>
      <c r="O15" s="37">
        <f t="shared" si="7"/>
        <v>0.54897728975960813</v>
      </c>
      <c r="P15" s="37">
        <f t="shared" si="7"/>
        <v>0.539387404033426</v>
      </c>
      <c r="Q15" s="37">
        <f t="shared" si="7"/>
        <v>0.52971760259285894</v>
      </c>
      <c r="R15" s="37">
        <f t="shared" si="7"/>
        <v>0.51996721947362057</v>
      </c>
      <c r="S15" s="37">
        <f t="shared" si="7"/>
        <v>0.51013558316172192</v>
      </c>
      <c r="T15" s="37">
        <f t="shared" si="7"/>
        <v>0.50022201654722409</v>
      </c>
      <c r="U15" s="37">
        <f t="shared" si="7"/>
        <v>0.4902258368776054</v>
      </c>
      <c r="V15" s="37">
        <f t="shared" si="7"/>
        <v>0.48014635571073999</v>
      </c>
      <c r="W15" s="37">
        <f t="shared" si="7"/>
        <v>0.46998287886748397</v>
      </c>
      <c r="X15" s="37">
        <f t="shared" si="7"/>
        <v>0.45973470638386749</v>
      </c>
      <c r="Y15" s="37">
        <f t="shared" si="7"/>
        <v>0.44940113246288754</v>
      </c>
      <c r="Z15" s="37">
        <f t="shared" si="7"/>
        <v>0.43898144542589951</v>
      </c>
      <c r="AA15" s="37">
        <f t="shared" si="7"/>
        <v>0.42847492766360312</v>
      </c>
      <c r="AB15" s="37">
        <f t="shared" si="7"/>
        <v>0.41788085558662097</v>
      </c>
      <c r="AC15" s="37">
        <f t="shared" si="7"/>
        <v>0.40719849957566395</v>
      </c>
      <c r="AD15" s="37">
        <f t="shared" si="7"/>
        <v>0.39642712393128238</v>
      </c>
      <c r="AE15" s="37">
        <f t="shared" si="7"/>
        <v>0.38556598682319754</v>
      </c>
      <c r="AF15" s="37">
        <f t="shared" si="7"/>
        <v>0.37461434023921197</v>
      </c>
      <c r="AG15" s="37">
        <f t="shared" si="7"/>
        <v>0.36357142993369324</v>
      </c>
      <c r="AH15" s="37">
        <f t="shared" si="7"/>
        <v>0.35243649537562849</v>
      </c>
      <c r="AI15" s="37">
        <f t="shared" si="7"/>
        <v>0.34120876969624653</v>
      </c>
      <c r="AJ15" s="37">
        <f t="shared" si="7"/>
        <v>0.32988747963620307</v>
      </c>
      <c r="AK15" s="37">
        <f t="shared" si="7"/>
        <v>0.31847184549232593</v>
      </c>
      <c r="AL15" s="37">
        <f t="shared" si="7"/>
        <v>0.30696108106391651</v>
      </c>
      <c r="AM15" s="37">
        <f t="shared" si="7"/>
        <v>0.29535439359860366</v>
      </c>
      <c r="AN15" s="37">
        <f t="shared" si="7"/>
        <v>0.2836509837377465</v>
      </c>
      <c r="AO15" s="37">
        <f t="shared" si="7"/>
        <v>0.27185004546138219</v>
      </c>
      <c r="AP15" s="37">
        <f t="shared" si="7"/>
        <v>0.25995076603271489</v>
      </c>
      <c r="AQ15" s="37">
        <f t="shared" si="7"/>
        <v>0.247952325942142</v>
      </c>
      <c r="AR15" s="37">
        <f t="shared" si="7"/>
        <v>0.23585389885081431</v>
      </c>
      <c r="AS15" s="37">
        <f t="shared" si="7"/>
        <v>0.22365465153372557</v>
      </c>
      <c r="AT15" s="37">
        <f t="shared" si="7"/>
        <v>0.21135374382232777</v>
      </c>
      <c r="AU15" s="37">
        <f t="shared" si="7"/>
        <v>0.19895032854666836</v>
      </c>
      <c r="AV15" s="37">
        <f t="shared" si="7"/>
        <v>0.18644355147704508</v>
      </c>
      <c r="AW15" s="37">
        <f t="shared" si="7"/>
        <v>0.17383255126517494</v>
      </c>
      <c r="AX15" s="37">
        <f t="shared" si="7"/>
        <v>0.16111645938487257</v>
      </c>
      <c r="AY15" s="37">
        <f t="shared" si="7"/>
        <v>0.14829440007223432</v>
      </c>
      <c r="AZ15" s="37">
        <f t="shared" si="7"/>
        <v>0.1353654902653241</v>
      </c>
      <c r="BA15" s="37">
        <f t="shared" si="7"/>
        <v>0.12232883954335631</v>
      </c>
      <c r="BB15" s="37">
        <f t="shared" si="7"/>
        <v>0.1091835500653721</v>
      </c>
      <c r="BC15" s="37">
        <f t="shared" si="7"/>
        <v>9.5928716508404677E-2</v>
      </c>
      <c r="BD15" s="37">
        <f t="shared" si="7"/>
        <v>8.2563426005129184E-2</v>
      </c>
      <c r="BE15" s="37">
        <f t="shared" si="7"/>
        <v>6.9086758080993071E-2</v>
      </c>
      <c r="BF15" s="37">
        <f t="shared" si="7"/>
        <v>5.549778459082249E-2</v>
      </c>
      <c r="BG15" s="37">
        <f t="shared" si="7"/>
        <v>4.1795569654900493E-2</v>
      </c>
      <c r="BH15" s="37">
        <f t="shared" si="7"/>
        <v>2.7979169594512483E-2</v>
      </c>
      <c r="BI15" s="37">
        <f t="shared" si="7"/>
        <v>1.4047632866954568E-2</v>
      </c>
    </row>
    <row r="16" spans="1:62" x14ac:dyDescent="0.3">
      <c r="A16" t="s">
        <v>171</v>
      </c>
      <c r="B16" s="37">
        <f>$B$20</f>
        <v>1.6997635769014621</v>
      </c>
      <c r="C16" s="37">
        <f>$B$20</f>
        <v>1.6997635769014621</v>
      </c>
      <c r="D16" s="37">
        <f t="shared" ref="D16:BI16" si="8">$B$20</f>
        <v>1.6997635769014621</v>
      </c>
      <c r="E16" s="37">
        <f t="shared" si="8"/>
        <v>1.6997635769014621</v>
      </c>
      <c r="F16" s="37">
        <f t="shared" si="8"/>
        <v>1.6997635769014621</v>
      </c>
      <c r="G16" s="37">
        <f t="shared" si="8"/>
        <v>1.6997635769014621</v>
      </c>
      <c r="H16" s="37">
        <f t="shared" si="8"/>
        <v>1.6997635769014621</v>
      </c>
      <c r="I16" s="37">
        <f t="shared" si="8"/>
        <v>1.6997635769014621</v>
      </c>
      <c r="J16" s="37">
        <f t="shared" si="8"/>
        <v>1.6997635769014621</v>
      </c>
      <c r="K16" s="37">
        <f t="shared" si="8"/>
        <v>1.6997635769014621</v>
      </c>
      <c r="L16" s="37">
        <f t="shared" si="8"/>
        <v>1.6997635769014621</v>
      </c>
      <c r="M16" s="37">
        <f t="shared" si="8"/>
        <v>1.6997635769014621</v>
      </c>
      <c r="N16" s="37">
        <f t="shared" si="8"/>
        <v>1.6997635769014621</v>
      </c>
      <c r="O16" s="37">
        <f t="shared" si="8"/>
        <v>1.6997635769014621</v>
      </c>
      <c r="P16" s="37">
        <f t="shared" si="8"/>
        <v>1.6997635769014621</v>
      </c>
      <c r="Q16" s="37">
        <f t="shared" si="8"/>
        <v>1.6997635769014621</v>
      </c>
      <c r="R16" s="37">
        <f t="shared" si="8"/>
        <v>1.6997635769014621</v>
      </c>
      <c r="S16" s="37">
        <f t="shared" si="8"/>
        <v>1.6997635769014621</v>
      </c>
      <c r="T16" s="37">
        <f t="shared" si="8"/>
        <v>1.6997635769014621</v>
      </c>
      <c r="U16" s="37">
        <f t="shared" si="8"/>
        <v>1.6997635769014621</v>
      </c>
      <c r="V16" s="37">
        <f t="shared" si="8"/>
        <v>1.6997635769014621</v>
      </c>
      <c r="W16" s="37">
        <f t="shared" si="8"/>
        <v>1.6997635769014621</v>
      </c>
      <c r="X16" s="37">
        <f t="shared" si="8"/>
        <v>1.6997635769014621</v>
      </c>
      <c r="Y16" s="37">
        <f t="shared" si="8"/>
        <v>1.6997635769014621</v>
      </c>
      <c r="Z16" s="37">
        <f t="shared" si="8"/>
        <v>1.6997635769014621</v>
      </c>
      <c r="AA16" s="37">
        <f t="shared" si="8"/>
        <v>1.6997635769014621</v>
      </c>
      <c r="AB16" s="37">
        <f t="shared" si="8"/>
        <v>1.6997635769014621</v>
      </c>
      <c r="AC16" s="37">
        <f t="shared" si="8"/>
        <v>1.6997635769014621</v>
      </c>
      <c r="AD16" s="37">
        <f t="shared" si="8"/>
        <v>1.6997635769014621</v>
      </c>
      <c r="AE16" s="37">
        <f t="shared" si="8"/>
        <v>1.6997635769014621</v>
      </c>
      <c r="AF16" s="37">
        <f t="shared" si="8"/>
        <v>1.6997635769014621</v>
      </c>
      <c r="AG16" s="37">
        <f t="shared" si="8"/>
        <v>1.6997635769014621</v>
      </c>
      <c r="AH16" s="37">
        <f t="shared" si="8"/>
        <v>1.6997635769014621</v>
      </c>
      <c r="AI16" s="37">
        <f t="shared" si="8"/>
        <v>1.6997635769014621</v>
      </c>
      <c r="AJ16" s="37">
        <f t="shared" si="8"/>
        <v>1.6997635769014621</v>
      </c>
      <c r="AK16" s="37">
        <f t="shared" si="8"/>
        <v>1.6997635769014621</v>
      </c>
      <c r="AL16" s="37">
        <f t="shared" si="8"/>
        <v>1.6997635769014621</v>
      </c>
      <c r="AM16" s="37">
        <f t="shared" si="8"/>
        <v>1.6997635769014621</v>
      </c>
      <c r="AN16" s="37">
        <f t="shared" si="8"/>
        <v>1.6997635769014621</v>
      </c>
      <c r="AO16" s="37">
        <f t="shared" si="8"/>
        <v>1.6997635769014621</v>
      </c>
      <c r="AP16" s="37">
        <f t="shared" si="8"/>
        <v>1.6997635769014621</v>
      </c>
      <c r="AQ16" s="37">
        <f t="shared" si="8"/>
        <v>1.6997635769014621</v>
      </c>
      <c r="AR16" s="37">
        <f t="shared" si="8"/>
        <v>1.6997635769014621</v>
      </c>
      <c r="AS16" s="37">
        <f t="shared" si="8"/>
        <v>1.6997635769014621</v>
      </c>
      <c r="AT16" s="37">
        <f t="shared" si="8"/>
        <v>1.6997635769014621</v>
      </c>
      <c r="AU16" s="37">
        <f t="shared" si="8"/>
        <v>1.6997635769014621</v>
      </c>
      <c r="AV16" s="37">
        <f t="shared" si="8"/>
        <v>1.6997635769014621</v>
      </c>
      <c r="AW16" s="37">
        <f t="shared" si="8"/>
        <v>1.6997635769014621</v>
      </c>
      <c r="AX16" s="37">
        <f t="shared" si="8"/>
        <v>1.6997635769014621</v>
      </c>
      <c r="AY16" s="37">
        <f t="shared" si="8"/>
        <v>1.6997635769014621</v>
      </c>
      <c r="AZ16" s="37">
        <f t="shared" si="8"/>
        <v>1.6997635769014621</v>
      </c>
      <c r="BA16" s="37">
        <f t="shared" si="8"/>
        <v>1.6997635769014621</v>
      </c>
      <c r="BB16" s="37">
        <f t="shared" si="8"/>
        <v>1.6997635769014621</v>
      </c>
      <c r="BC16" s="37">
        <f t="shared" si="8"/>
        <v>1.6997635769014621</v>
      </c>
      <c r="BD16" s="37">
        <f t="shared" si="8"/>
        <v>1.6997635769014621</v>
      </c>
      <c r="BE16" s="37">
        <f t="shared" si="8"/>
        <v>1.6997635769014621</v>
      </c>
      <c r="BF16" s="37">
        <f t="shared" si="8"/>
        <v>1.6997635769014621</v>
      </c>
      <c r="BG16" s="37">
        <f t="shared" si="8"/>
        <v>1.6997635769014621</v>
      </c>
      <c r="BH16" s="37">
        <f t="shared" si="8"/>
        <v>1.6997635769014621</v>
      </c>
      <c r="BI16" s="37">
        <f t="shared" si="8"/>
        <v>1.6997635769014621</v>
      </c>
      <c r="BJ16" s="6"/>
    </row>
    <row r="17" spans="1:61" x14ac:dyDescent="0.3">
      <c r="A17" t="s">
        <v>172</v>
      </c>
      <c r="B17" s="37">
        <f>B14+B15-B16</f>
        <v>78.966903089765211</v>
      </c>
      <c r="C17" s="37">
        <f>C14+C15-C16</f>
        <v>77.925197038611799</v>
      </c>
      <c r="D17" s="37">
        <f t="shared" ref="D17:BI17" si="9">D14+D15-D16</f>
        <v>76.874810103698763</v>
      </c>
      <c r="E17" s="37">
        <f t="shared" si="9"/>
        <v>75.815669944328121</v>
      </c>
      <c r="F17" s="37">
        <f t="shared" si="9"/>
        <v>74.747703616962724</v>
      </c>
      <c r="G17" s="37">
        <f t="shared" si="9"/>
        <v>73.670837570202622</v>
      </c>
      <c r="H17" s="37">
        <f t="shared" si="9"/>
        <v>72.584997639719518</v>
      </c>
      <c r="I17" s="37">
        <f t="shared" si="9"/>
        <v>71.490109043149047</v>
      </c>
      <c r="J17" s="37">
        <f t="shared" si="9"/>
        <v>70.386096374940493</v>
      </c>
      <c r="K17" s="37">
        <f t="shared" si="9"/>
        <v>69.272883601163542</v>
      </c>
      <c r="L17" s="37">
        <f t="shared" si="9"/>
        <v>68.150394054271771</v>
      </c>
      <c r="M17" s="37">
        <f t="shared" si="9"/>
        <v>67.018550427822575</v>
      </c>
      <c r="N17" s="37">
        <f t="shared" si="9"/>
        <v>65.877274771152969</v>
      </c>
      <c r="O17" s="37">
        <f t="shared" si="9"/>
        <v>64.726488484011114</v>
      </c>
      <c r="P17" s="37">
        <f t="shared" si="9"/>
        <v>63.566112311143073</v>
      </c>
      <c r="Q17" s="37">
        <f t="shared" si="9"/>
        <v>62.396066336834465</v>
      </c>
      <c r="R17" s="37">
        <f t="shared" si="9"/>
        <v>61.216269979406626</v>
      </c>
      <c r="S17" s="37">
        <f t="shared" si="9"/>
        <v>60.026641985666885</v>
      </c>
      <c r="T17" s="37">
        <f t="shared" si="9"/>
        <v>58.827100425312651</v>
      </c>
      <c r="U17" s="37">
        <f t="shared" si="9"/>
        <v>57.617562685288796</v>
      </c>
      <c r="V17" s="37">
        <f t="shared" si="9"/>
        <v>56.397945464098072</v>
      </c>
      <c r="W17" s="37">
        <f t="shared" si="9"/>
        <v>55.168164766064095</v>
      </c>
      <c r="X17" s="37">
        <f t="shared" si="9"/>
        <v>53.928135895546504</v>
      </c>
      <c r="Y17" s="37">
        <f t="shared" si="9"/>
        <v>52.677773451107932</v>
      </c>
      <c r="Z17" s="37">
        <f t="shared" si="9"/>
        <v>51.416991319632373</v>
      </c>
      <c r="AA17" s="37">
        <f t="shared" si="9"/>
        <v>50.145702670394513</v>
      </c>
      <c r="AB17" s="37">
        <f t="shared" si="9"/>
        <v>48.863819949079677</v>
      </c>
      <c r="AC17" s="37">
        <f t="shared" si="9"/>
        <v>47.571254871753879</v>
      </c>
      <c r="AD17" s="37">
        <f t="shared" si="9"/>
        <v>46.267918418783701</v>
      </c>
      <c r="AE17" s="37">
        <f t="shared" si="9"/>
        <v>44.953720828705436</v>
      </c>
      <c r="AF17" s="37">
        <f t="shared" si="9"/>
        <v>43.628571592043187</v>
      </c>
      <c r="AG17" s="37">
        <f t="shared" si="9"/>
        <v>42.292379445075419</v>
      </c>
      <c r="AH17" s="37">
        <f t="shared" si="9"/>
        <v>40.945052363549586</v>
      </c>
      <c r="AI17" s="37">
        <f t="shared" si="9"/>
        <v>39.586497556344369</v>
      </c>
      <c r="AJ17" s="37">
        <f t="shared" si="9"/>
        <v>38.216621459079114</v>
      </c>
      <c r="AK17" s="37">
        <f t="shared" si="9"/>
        <v>36.835329727669979</v>
      </c>
      <c r="AL17" s="37">
        <f t="shared" si="9"/>
        <v>35.442527231832436</v>
      </c>
      <c r="AM17" s="37">
        <f t="shared" si="9"/>
        <v>34.038118048529576</v>
      </c>
      <c r="AN17" s="37">
        <f t="shared" si="9"/>
        <v>32.622005455365858</v>
      </c>
      <c r="AO17" s="37">
        <f t="shared" si="9"/>
        <v>31.194091923925782</v>
      </c>
      <c r="AP17" s="37">
        <f t="shared" si="9"/>
        <v>29.754279113057038</v>
      </c>
      <c r="AQ17" s="37">
        <f t="shared" si="9"/>
        <v>28.302467862097718</v>
      </c>
      <c r="AR17" s="37">
        <f t="shared" si="9"/>
        <v>26.83855818404707</v>
      </c>
      <c r="AS17" s="37">
        <f t="shared" si="9"/>
        <v>25.362449258679334</v>
      </c>
      <c r="AT17" s="37">
        <f t="shared" si="9"/>
        <v>23.874039425600202</v>
      </c>
      <c r="AU17" s="37">
        <f t="shared" si="9"/>
        <v>22.37322617724541</v>
      </c>
      <c r="AV17" s="37">
        <f t="shared" si="9"/>
        <v>20.859906151820994</v>
      </c>
      <c r="AW17" s="37">
        <f t="shared" si="9"/>
        <v>19.333975126184708</v>
      </c>
      <c r="AX17" s="37">
        <f t="shared" si="9"/>
        <v>17.795328008668118</v>
      </c>
      <c r="AY17" s="37">
        <f t="shared" si="9"/>
        <v>16.243858831838892</v>
      </c>
      <c r="AZ17" s="37">
        <f t="shared" si="9"/>
        <v>14.679460745202755</v>
      </c>
      <c r="BA17" s="37">
        <f t="shared" si="9"/>
        <v>13.10202600784465</v>
      </c>
      <c r="BB17" s="37">
        <f t="shared" si="9"/>
        <v>11.51144598100856</v>
      </c>
      <c r="BC17" s="37">
        <f t="shared" si="9"/>
        <v>9.9076111206155026</v>
      </c>
      <c r="BD17" s="37">
        <f t="shared" si="9"/>
        <v>8.2904109697191686</v>
      </c>
      <c r="BE17" s="37">
        <f t="shared" si="9"/>
        <v>6.6597341508986982</v>
      </c>
      <c r="BF17" s="37">
        <f t="shared" si="9"/>
        <v>5.0154683585880591</v>
      </c>
      <c r="BG17" s="37">
        <f t="shared" si="9"/>
        <v>3.3575003513414976</v>
      </c>
      <c r="BH17" s="37">
        <f t="shared" si="9"/>
        <v>1.6857159440345479</v>
      </c>
      <c r="BI17" s="37">
        <f t="shared" si="9"/>
        <v>4.0412118096355698E-14</v>
      </c>
    </row>
    <row r="19" spans="1:61" x14ac:dyDescent="0.3">
      <c r="A19" t="s">
        <v>175</v>
      </c>
      <c r="B19" s="18">
        <v>0.1</v>
      </c>
    </row>
    <row r="20" spans="1:61" x14ac:dyDescent="0.3">
      <c r="A20" t="s">
        <v>176</v>
      </c>
      <c r="B20" s="3">
        <f>PMT(B19/12,5*12,-B14)</f>
        <v>1.6997635769014621</v>
      </c>
    </row>
    <row r="23" spans="1:61" x14ac:dyDescent="0.3">
      <c r="B23" s="3">
        <f>PMT(10.5%/12,30*12,-80)</f>
        <v>0.73179143559445692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CD54-DBCB-4BC6-86F0-4A7D7A6B1253}">
  <dimension ref="A1:K14"/>
  <sheetViews>
    <sheetView zoomScale="13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1" sqref="A11"/>
    </sheetView>
  </sheetViews>
  <sheetFormatPr defaultRowHeight="14.4" x14ac:dyDescent="0.3"/>
  <cols>
    <col min="1" max="1" width="47.5546875" bestFit="1" customWidth="1"/>
    <col min="2" max="6" width="9.109375" bestFit="1" customWidth="1"/>
    <col min="7" max="7" width="10.109375" bestFit="1" customWidth="1"/>
    <col min="8" max="11" width="9.109375" bestFit="1" customWidth="1"/>
  </cols>
  <sheetData>
    <row r="1" spans="1:1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</row>
    <row r="2" spans="1:11" x14ac:dyDescent="0.3">
      <c r="A2" t="s">
        <v>6</v>
      </c>
      <c r="B2" s="1">
        <v>3452</v>
      </c>
      <c r="C2">
        <v>749</v>
      </c>
      <c r="D2" s="1">
        <v>1656</v>
      </c>
      <c r="E2" s="1">
        <v>3830</v>
      </c>
      <c r="F2" s="1">
        <v>6264</v>
      </c>
      <c r="G2" s="5">
        <f>S!G2</f>
        <v>7229.0156353541688</v>
      </c>
      <c r="H2" s="5">
        <f>S!H2</f>
        <v>7730.7943676905179</v>
      </c>
      <c r="I2" s="5">
        <f>S!I2</f>
        <v>8261.1489735972063</v>
      </c>
      <c r="J2" s="5">
        <f>S!J2</f>
        <v>8821.5626769881274</v>
      </c>
      <c r="K2" s="5">
        <f>S!K2</f>
        <v>9413.5916382925643</v>
      </c>
    </row>
    <row r="3" spans="1:11" x14ac:dyDescent="0.3">
      <c r="A3" t="s">
        <v>7</v>
      </c>
      <c r="B3">
        <v>264</v>
      </c>
      <c r="C3">
        <v>26</v>
      </c>
      <c r="D3">
        <v>0</v>
      </c>
      <c r="E3">
        <v>0</v>
      </c>
      <c r="F3">
        <v>0</v>
      </c>
      <c r="G3" s="11">
        <f>G$2*S!G16</f>
        <v>0</v>
      </c>
      <c r="H3" s="11">
        <f>H$2*S!H16</f>
        <v>0</v>
      </c>
      <c r="I3" s="11">
        <f>I$2*S!I16</f>
        <v>0</v>
      </c>
      <c r="J3" s="11">
        <f>J$2*S!J16</f>
        <v>0</v>
      </c>
      <c r="K3" s="11">
        <f>K$2*S!K16</f>
        <v>0</v>
      </c>
    </row>
    <row r="4" spans="1:11" x14ac:dyDescent="0.3">
      <c r="A4" t="s">
        <v>8</v>
      </c>
      <c r="B4">
        <v>206</v>
      </c>
      <c r="C4">
        <v>57</v>
      </c>
      <c r="D4">
        <v>101</v>
      </c>
      <c r="E4">
        <v>233</v>
      </c>
      <c r="F4">
        <v>385</v>
      </c>
      <c r="G4" s="11">
        <f>G$2*S!G17</f>
        <v>433.74093812125011</v>
      </c>
      <c r="H4" s="11">
        <f>H$2*S!H17</f>
        <v>463.84766206143104</v>
      </c>
      <c r="I4" s="11">
        <f>I$2*S!I17</f>
        <v>495.66893841583237</v>
      </c>
      <c r="J4" s="11">
        <f>J$2*S!J17</f>
        <v>529.29376061928758</v>
      </c>
      <c r="K4" s="11">
        <f>K$2*S!K17</f>
        <v>564.81549829755386</v>
      </c>
    </row>
    <row r="5" spans="1:11" x14ac:dyDescent="0.3">
      <c r="A5" t="s">
        <v>9</v>
      </c>
      <c r="B5">
        <v>394</v>
      </c>
      <c r="C5">
        <v>217</v>
      </c>
      <c r="D5">
        <v>265</v>
      </c>
      <c r="E5">
        <v>439</v>
      </c>
      <c r="F5">
        <v>657</v>
      </c>
      <c r="G5" s="11">
        <f>G$2*S!G18</f>
        <v>795.19171988895857</v>
      </c>
      <c r="H5" s="11">
        <f>H$2*S!H18</f>
        <v>850.38738044595698</v>
      </c>
      <c r="I5" s="11">
        <f>I$2*S!I18</f>
        <v>908.72638709569276</v>
      </c>
      <c r="J5" s="11">
        <f>J$2*S!J18</f>
        <v>970.37189446869399</v>
      </c>
      <c r="K5" s="11">
        <f>K$2*S!K18</f>
        <v>1035.4950802121821</v>
      </c>
    </row>
    <row r="6" spans="1:11" x14ac:dyDescent="0.3">
      <c r="A6" t="s">
        <v>10</v>
      </c>
      <c r="B6">
        <v>271</v>
      </c>
      <c r="C6">
        <v>73</v>
      </c>
      <c r="D6">
        <v>108</v>
      </c>
      <c r="E6">
        <v>250</v>
      </c>
      <c r="F6">
        <v>382</v>
      </c>
      <c r="G6" s="11">
        <f>G$2*S!G19</f>
        <v>433.74093812125011</v>
      </c>
      <c r="H6" s="11">
        <f>H$2*S!H19</f>
        <v>463.84766206143104</v>
      </c>
      <c r="I6" s="11">
        <f>I$2*S!I19</f>
        <v>495.66893841583237</v>
      </c>
      <c r="J6" s="11">
        <f>J$2*S!J19</f>
        <v>529.29376061928758</v>
      </c>
      <c r="K6" s="11">
        <f>K$2*S!K19</f>
        <v>564.81549829755386</v>
      </c>
    </row>
    <row r="7" spans="1:11" x14ac:dyDescent="0.3">
      <c r="A7" t="s">
        <v>11</v>
      </c>
      <c r="B7" s="1">
        <v>1205</v>
      </c>
      <c r="C7">
        <v>243</v>
      </c>
      <c r="D7">
        <v>749</v>
      </c>
      <c r="E7" s="1">
        <v>1792</v>
      </c>
      <c r="F7" s="1">
        <v>2872</v>
      </c>
      <c r="G7" s="11">
        <f>G$2*S!G20</f>
        <v>3253.0570359093758</v>
      </c>
      <c r="H7" s="11">
        <f>H$2*S!H20</f>
        <v>3478.8574654607332</v>
      </c>
      <c r="I7" s="11">
        <f>I$2*S!I20</f>
        <v>3717.5170381187431</v>
      </c>
      <c r="J7" s="11">
        <f>J$2*S!J20</f>
        <v>3969.7032046446575</v>
      </c>
      <c r="K7" s="11">
        <f>K$2*S!K20</f>
        <v>4236.1162372316539</v>
      </c>
    </row>
    <row r="8" spans="1:11" x14ac:dyDescent="0.3">
      <c r="A8" s="12" t="s">
        <v>12</v>
      </c>
      <c r="B8" s="13">
        <v>1114</v>
      </c>
      <c r="C8" s="12">
        <v>134</v>
      </c>
      <c r="D8" s="12">
        <v>432</v>
      </c>
      <c r="E8" s="13">
        <v>1116</v>
      </c>
      <c r="F8" s="13">
        <v>1967</v>
      </c>
      <c r="G8" s="14">
        <f>G2-SUM(G3:G7)</f>
        <v>2313.2850033133336</v>
      </c>
      <c r="H8" s="14">
        <f>H2-SUM(H3:H7)</f>
        <v>2473.8541976609658</v>
      </c>
      <c r="I8" s="14">
        <f>I2-SUM(I3:I7)</f>
        <v>2643.5676715511054</v>
      </c>
      <c r="J8" s="14">
        <f>J2-SUM(J3:J7)</f>
        <v>2822.900056636201</v>
      </c>
      <c r="K8" s="14">
        <f>K2-SUM(K3:K7)</f>
        <v>3012.3493242536206</v>
      </c>
    </row>
    <row r="9" spans="1:11" x14ac:dyDescent="0.3">
      <c r="A9" t="s">
        <v>13</v>
      </c>
      <c r="B9">
        <v>542</v>
      </c>
      <c r="C9">
        <v>575</v>
      </c>
      <c r="D9">
        <v>614</v>
      </c>
      <c r="E9">
        <v>753</v>
      </c>
      <c r="F9" s="1">
        <v>1219</v>
      </c>
      <c r="G9" s="5">
        <f>S!G25+S!G37</f>
        <v>1206.8856383908947</v>
      </c>
      <c r="H9" s="5">
        <f>S!H25+S!H37</f>
        <v>1199.3198963073396</v>
      </c>
      <c r="I9" s="5">
        <f>S!I25+S!I37</f>
        <v>1192.1013066734063</v>
      </c>
      <c r="J9" s="5">
        <f>S!J25+S!J37</f>
        <v>1185.2139404735476</v>
      </c>
      <c r="K9" s="5">
        <f>S!K25+S!K37</f>
        <v>1178.6425995916707</v>
      </c>
    </row>
    <row r="10" spans="1:11" x14ac:dyDescent="0.3">
      <c r="A10" t="s">
        <v>14</v>
      </c>
      <c r="B10">
        <v>571</v>
      </c>
      <c r="C10">
        <v>-441</v>
      </c>
      <c r="D10">
        <v>-183</v>
      </c>
      <c r="E10">
        <v>363</v>
      </c>
      <c r="F10">
        <v>747</v>
      </c>
      <c r="G10" s="5">
        <f>G8-G9</f>
        <v>1106.399364922439</v>
      </c>
      <c r="H10" s="5">
        <f>H8-H9</f>
        <v>1274.5343013536262</v>
      </c>
      <c r="I10" s="5">
        <f>I8-I9</f>
        <v>1451.4663648776991</v>
      </c>
      <c r="J10" s="5">
        <f>J8-J9</f>
        <v>1637.6861161626534</v>
      </c>
      <c r="K10" s="5">
        <f>K8-K9</f>
        <v>1833.7067246619499</v>
      </c>
    </row>
    <row r="11" spans="1:11" x14ac:dyDescent="0.3">
      <c r="A11" t="s">
        <v>15</v>
      </c>
      <c r="B11">
        <v>482</v>
      </c>
      <c r="C11">
        <v>498</v>
      </c>
      <c r="D11">
        <v>498</v>
      </c>
      <c r="E11">
        <v>572</v>
      </c>
      <c r="F11">
        <v>791</v>
      </c>
      <c r="G11" s="5">
        <f>S!G44</f>
        <v>740.85865444520607</v>
      </c>
      <c r="H11" s="5">
        <f>S!H44</f>
        <v>697.62145200891689</v>
      </c>
      <c r="I11" s="5">
        <f>S!I44</f>
        <v>654.38424957262771</v>
      </c>
      <c r="J11" s="5">
        <f>S!J44</f>
        <v>611.14704713633853</v>
      </c>
      <c r="K11" s="5">
        <f>S!K44</f>
        <v>567.90984470004935</v>
      </c>
    </row>
    <row r="12" spans="1:11" x14ac:dyDescent="0.3">
      <c r="A12" t="s">
        <v>16</v>
      </c>
      <c r="B12">
        <v>90</v>
      </c>
      <c r="C12">
        <v>-939</v>
      </c>
      <c r="D12">
        <v>-681</v>
      </c>
      <c r="E12">
        <v>-209</v>
      </c>
      <c r="F12">
        <v>-44</v>
      </c>
      <c r="G12" s="5">
        <f>G10-G11</f>
        <v>365.54071047723289</v>
      </c>
      <c r="H12" s="5">
        <f>H10-H11</f>
        <v>576.91284934470934</v>
      </c>
      <c r="I12" s="5">
        <f>I10-I11</f>
        <v>797.0821153050714</v>
      </c>
      <c r="J12" s="5">
        <f>J10-J11</f>
        <v>1026.5390690263148</v>
      </c>
      <c r="K12" s="5">
        <f>K10-K11</f>
        <v>1265.7968799619007</v>
      </c>
    </row>
    <row r="13" spans="1:11" x14ac:dyDescent="0.3">
      <c r="A13" t="s">
        <v>17</v>
      </c>
      <c r="B13">
        <v>62</v>
      </c>
      <c r="C13">
        <v>-191</v>
      </c>
      <c r="D13">
        <v>-192</v>
      </c>
      <c r="E13">
        <v>126</v>
      </c>
      <c r="F13">
        <v>-12</v>
      </c>
      <c r="G13" s="5">
        <f>G12*25%</f>
        <v>91.385177619308223</v>
      </c>
      <c r="H13" s="5">
        <f>H12*25%</f>
        <v>144.22821233617734</v>
      </c>
      <c r="I13" s="5">
        <f>I12*25%</f>
        <v>199.27052882626785</v>
      </c>
      <c r="J13" s="5">
        <f>J12*25%</f>
        <v>256.6347672565787</v>
      </c>
      <c r="K13" s="5">
        <f>K12*25%</f>
        <v>316.44921999047517</v>
      </c>
    </row>
    <row r="14" spans="1:11" x14ac:dyDescent="0.3">
      <c r="A14" s="12" t="s">
        <v>18</v>
      </c>
      <c r="B14" s="13">
        <v>27</v>
      </c>
      <c r="C14" s="12">
        <v>-748</v>
      </c>
      <c r="D14" s="12">
        <v>-488</v>
      </c>
      <c r="E14" s="13">
        <v>-335</v>
      </c>
      <c r="F14" s="13">
        <v>-32</v>
      </c>
      <c r="G14" s="14">
        <f>G12-G13</f>
        <v>274.15553285792464</v>
      </c>
      <c r="H14" s="14">
        <f>H12-H13</f>
        <v>432.68463700853204</v>
      </c>
      <c r="I14" s="14">
        <f>I12-I13</f>
        <v>597.81158647880352</v>
      </c>
      <c r="J14" s="14">
        <f>J12-J13</f>
        <v>769.90430176973609</v>
      </c>
      <c r="K14" s="14">
        <f>K12-K13</f>
        <v>949.34765997142551</v>
      </c>
    </row>
  </sheetData>
  <pageMargins left="0.7" right="0.7" top="0.75" bottom="0.75" header="0.3" footer="0.3"/>
  <ignoredErrors>
    <ignoredError sqref="G13:K13 G11:K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9A99-A530-439F-9F1F-C49365A14A83}">
  <dimension ref="A1:K34"/>
  <sheetViews>
    <sheetView zoomScale="159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F16" sqref="F16:G16"/>
    </sheetView>
  </sheetViews>
  <sheetFormatPr defaultRowHeight="14.4" x14ac:dyDescent="0.3"/>
  <cols>
    <col min="1" max="1" width="33.33203125" bestFit="1" customWidth="1"/>
    <col min="2" max="3" width="9.44140625" bestFit="1" customWidth="1"/>
    <col min="4" max="4" width="9.6640625" bestFit="1" customWidth="1"/>
    <col min="5" max="6" width="10.44140625" bestFit="1" customWidth="1"/>
    <col min="7" max="11" width="9.44140625" bestFit="1" customWidth="1"/>
  </cols>
  <sheetData>
    <row r="1" spans="1:11" x14ac:dyDescent="0.3">
      <c r="A1" s="7" t="s">
        <v>66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</row>
    <row r="2" spans="1:11" x14ac:dyDescent="0.3">
      <c r="A2" t="s">
        <v>36</v>
      </c>
      <c r="B2" s="23">
        <v>323.47000000000003</v>
      </c>
      <c r="C2" s="23">
        <v>732.31</v>
      </c>
      <c r="D2" s="23">
        <v>578.58000000000004</v>
      </c>
      <c r="E2" s="23">
        <v>361.8</v>
      </c>
      <c r="F2" s="23">
        <v>419.9</v>
      </c>
      <c r="G2" s="5">
        <f>CFS!G19</f>
        <v>516.15296874369312</v>
      </c>
      <c r="H2" s="5">
        <f>CFS!H19</f>
        <v>742.68279153273841</v>
      </c>
      <c r="I2" s="5">
        <f>CFS!I19</f>
        <v>1129.2010584399841</v>
      </c>
      <c r="J2" s="5">
        <f>CFS!J19</f>
        <v>1683.1127249995575</v>
      </c>
      <c r="K2" s="5">
        <f>CFS!K19</f>
        <v>2412.1977348870896</v>
      </c>
    </row>
    <row r="3" spans="1:11" x14ac:dyDescent="0.3">
      <c r="A3" t="s">
        <v>37</v>
      </c>
      <c r="B3" s="23">
        <v>189.11</v>
      </c>
      <c r="C3" s="23">
        <v>30.69</v>
      </c>
      <c r="D3" s="23">
        <v>81.760000000000005</v>
      </c>
      <c r="E3" s="23">
        <v>182.5</v>
      </c>
      <c r="F3" s="23">
        <v>234.6</v>
      </c>
      <c r="G3" s="5">
        <f>$F$3/IS!$F$2*IS!G2</f>
        <v>270.74186910186592</v>
      </c>
      <c r="H3" s="5">
        <f>$F$3/IS!$F$2*IS!H2</f>
        <v>289.53454001599545</v>
      </c>
      <c r="I3" s="5">
        <f>$F$3/IS!$F$2*IS!I2</f>
        <v>309.39743761269233</v>
      </c>
      <c r="J3" s="5">
        <f>$F$3/IS!$F$2*IS!J2</f>
        <v>330.38611175309944</v>
      </c>
      <c r="K3" s="5">
        <f>$F$3/IS!$F$2*IS!K2</f>
        <v>352.55884392455869</v>
      </c>
    </row>
    <row r="4" spans="1:11" x14ac:dyDescent="0.3">
      <c r="A4" t="s">
        <v>38</v>
      </c>
      <c r="B4" s="23">
        <v>30.67</v>
      </c>
      <c r="C4" s="23">
        <v>24.95</v>
      </c>
      <c r="D4" s="23">
        <v>34.200000000000003</v>
      </c>
      <c r="E4" s="23">
        <v>66.400000000000006</v>
      </c>
      <c r="F4" s="23">
        <v>72.5</v>
      </c>
      <c r="G4" s="5">
        <f>$F$4/IS!$F$7*IS!G7</f>
        <v>82.119301916235983</v>
      </c>
      <c r="H4" s="5">
        <f>$F$4/IS!$F$7*IS!H7</f>
        <v>87.819347578657087</v>
      </c>
      <c r="I4" s="5">
        <f>$F$4/IS!$F$7*IS!I7</f>
        <v>93.844006011005874</v>
      </c>
      <c r="J4" s="5">
        <f>$F$4/IS!$F$7*IS!J7</f>
        <v>100.21012616181675</v>
      </c>
      <c r="K4" s="5">
        <f>$F$4/IS!$F$7*IS!K7</f>
        <v>106.93538551507483</v>
      </c>
    </row>
    <row r="5" spans="1:11" x14ac:dyDescent="0.3">
      <c r="A5" t="s">
        <v>39</v>
      </c>
      <c r="B5" s="23">
        <v>210.36</v>
      </c>
      <c r="C5" s="23">
        <v>214.32</v>
      </c>
      <c r="D5" s="23">
        <v>171.53</v>
      </c>
      <c r="E5" s="23">
        <v>239.1</v>
      </c>
      <c r="F5" s="23">
        <v>266.89999999999998</v>
      </c>
      <c r="G5" s="5">
        <f>F5</f>
        <v>266.89999999999998</v>
      </c>
      <c r="H5" s="5">
        <f>G5</f>
        <v>266.89999999999998</v>
      </c>
      <c r="I5" s="5">
        <f>H5</f>
        <v>266.89999999999998</v>
      </c>
      <c r="J5" s="5">
        <f>I5</f>
        <v>266.89999999999998</v>
      </c>
      <c r="K5" s="5">
        <f>J5</f>
        <v>266.89999999999998</v>
      </c>
    </row>
    <row r="6" spans="1:11" x14ac:dyDescent="0.3">
      <c r="A6" t="s">
        <v>40</v>
      </c>
      <c r="B6" s="23">
        <v>753.61</v>
      </c>
      <c r="C6" s="23">
        <v>1002.27</v>
      </c>
      <c r="D6" s="23">
        <v>866.07</v>
      </c>
      <c r="E6" s="23">
        <v>849.8</v>
      </c>
      <c r="F6" s="23">
        <v>993.9</v>
      </c>
      <c r="G6" s="23">
        <f>SUM(G2:G5)</f>
        <v>1135.914139761795</v>
      </c>
      <c r="H6" s="23">
        <f>SUM(H2:H5)</f>
        <v>1386.936679127391</v>
      </c>
      <c r="I6" s="23">
        <f>SUM(I2:I5)</f>
        <v>1799.3425020636823</v>
      </c>
      <c r="J6" s="23">
        <f>SUM(J2:J5)</f>
        <v>2380.6089629144735</v>
      </c>
      <c r="K6" s="23">
        <f>SUM(K2:K5)</f>
        <v>3138.591964326723</v>
      </c>
    </row>
    <row r="7" spans="1:11" x14ac:dyDescent="0.3">
      <c r="A7" t="s">
        <v>41</v>
      </c>
      <c r="B7" s="23" t="s">
        <v>42</v>
      </c>
      <c r="C7" s="23" t="s">
        <v>42</v>
      </c>
      <c r="D7" s="23" t="s">
        <v>42</v>
      </c>
      <c r="E7" s="23" t="s">
        <v>42</v>
      </c>
      <c r="F7" s="23" t="s">
        <v>42</v>
      </c>
      <c r="G7" s="5" t="str">
        <f>F7</f>
        <v>-</v>
      </c>
      <c r="H7" s="5" t="str">
        <f>G7</f>
        <v>-</v>
      </c>
      <c r="I7" s="5" t="str">
        <f>H7</f>
        <v>-</v>
      </c>
      <c r="J7" s="5" t="str">
        <f>I7</f>
        <v>-</v>
      </c>
      <c r="K7" s="5" t="str">
        <f>J7</f>
        <v>-</v>
      </c>
    </row>
    <row r="8" spans="1:11" x14ac:dyDescent="0.3">
      <c r="A8" t="s">
        <v>43</v>
      </c>
      <c r="B8" s="23">
        <v>4898.3999999999996</v>
      </c>
      <c r="C8" s="23">
        <v>4555.53</v>
      </c>
      <c r="D8" s="23">
        <v>4343.43</v>
      </c>
      <c r="E8" s="23">
        <v>8641.4</v>
      </c>
      <c r="F8" s="23">
        <v>8916.9</v>
      </c>
      <c r="G8" s="23">
        <f>S!G26</f>
        <v>8752.0143616091045</v>
      </c>
      <c r="H8" s="23">
        <f>S!H26</f>
        <v>8594.6944653017654</v>
      </c>
      <c r="I8" s="23">
        <f>S!I26</f>
        <v>8444.5931586283587</v>
      </c>
      <c r="J8" s="23">
        <f>S!J26</f>
        <v>8301.3792181548106</v>
      </c>
      <c r="K8" s="23">
        <f>S!K26</f>
        <v>8164.7366185631399</v>
      </c>
    </row>
    <row r="9" spans="1:11" x14ac:dyDescent="0.3">
      <c r="A9" t="s">
        <v>44</v>
      </c>
      <c r="B9" s="23">
        <v>1142.3399999999999</v>
      </c>
      <c r="C9" s="23">
        <v>1136.77</v>
      </c>
      <c r="D9" s="23">
        <v>1128.44</v>
      </c>
      <c r="E9" s="23">
        <v>5814.7</v>
      </c>
      <c r="F9" s="23">
        <v>5807.6</v>
      </c>
      <c r="G9" s="5">
        <f>S!G35</f>
        <v>5807.6</v>
      </c>
      <c r="H9" s="5">
        <f>S!H35</f>
        <v>5807.6</v>
      </c>
      <c r="I9" s="5">
        <f>S!I35</f>
        <v>5807.6</v>
      </c>
      <c r="J9" s="5">
        <f>S!J35</f>
        <v>5807.6</v>
      </c>
      <c r="K9" s="5">
        <f>S!K35</f>
        <v>5807.6</v>
      </c>
    </row>
    <row r="10" spans="1:11" x14ac:dyDescent="0.3">
      <c r="A10" t="s">
        <v>45</v>
      </c>
      <c r="B10" s="23">
        <v>1.0900000000000001</v>
      </c>
      <c r="C10" s="23">
        <v>0.3</v>
      </c>
      <c r="D10" s="23">
        <v>0</v>
      </c>
      <c r="E10" s="23">
        <v>0</v>
      </c>
      <c r="F10" s="23">
        <v>0</v>
      </c>
      <c r="G10" s="5">
        <f t="shared" ref="G10:K12" si="0">F10</f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 t="shared" si="0"/>
        <v>0</v>
      </c>
    </row>
    <row r="11" spans="1:11" x14ac:dyDescent="0.3">
      <c r="A11" t="s">
        <v>46</v>
      </c>
      <c r="B11" s="23">
        <v>204.88</v>
      </c>
      <c r="C11" s="23">
        <v>398.66</v>
      </c>
      <c r="D11" s="23">
        <v>592.57000000000005</v>
      </c>
      <c r="E11" s="23">
        <v>473.5</v>
      </c>
      <c r="F11" s="23">
        <v>488.1</v>
      </c>
      <c r="G11" s="5">
        <f t="shared" si="0"/>
        <v>488.1</v>
      </c>
      <c r="H11" s="5">
        <f t="shared" si="0"/>
        <v>488.1</v>
      </c>
      <c r="I11" s="5">
        <f t="shared" si="0"/>
        <v>488.1</v>
      </c>
      <c r="J11" s="5">
        <f t="shared" si="0"/>
        <v>488.1</v>
      </c>
      <c r="K11" s="5">
        <f t="shared" si="0"/>
        <v>488.1</v>
      </c>
    </row>
    <row r="12" spans="1:11" x14ac:dyDescent="0.3">
      <c r="A12" t="s">
        <v>47</v>
      </c>
      <c r="B12" s="23">
        <v>427.45</v>
      </c>
      <c r="C12" s="23">
        <v>408.32</v>
      </c>
      <c r="D12" s="23">
        <v>392.81</v>
      </c>
      <c r="E12" s="23">
        <v>694.1</v>
      </c>
      <c r="F12" s="23">
        <v>611.20000000000005</v>
      </c>
      <c r="G12" s="5">
        <f t="shared" si="0"/>
        <v>611.20000000000005</v>
      </c>
      <c r="H12" s="5">
        <f t="shared" si="0"/>
        <v>611.20000000000005</v>
      </c>
      <c r="I12" s="5">
        <f t="shared" si="0"/>
        <v>611.20000000000005</v>
      </c>
      <c r="J12" s="5">
        <f t="shared" si="0"/>
        <v>611.20000000000005</v>
      </c>
      <c r="K12" s="5">
        <f t="shared" si="0"/>
        <v>611.20000000000005</v>
      </c>
    </row>
    <row r="13" spans="1:11" x14ac:dyDescent="0.3">
      <c r="A13" t="s">
        <v>48</v>
      </c>
      <c r="B13" s="23">
        <v>6674.16</v>
      </c>
      <c r="C13" s="23">
        <v>6499.58</v>
      </c>
      <c r="D13" s="23">
        <v>6457.25</v>
      </c>
      <c r="E13" s="23">
        <v>15623.7</v>
      </c>
      <c r="F13" s="23">
        <v>15823.8</v>
      </c>
      <c r="G13" s="5">
        <f>SUM(G7:G12)</f>
        <v>15658.914361609106</v>
      </c>
      <c r="H13" s="5">
        <f>SUM(H7:H12)</f>
        <v>15501.594465301767</v>
      </c>
      <c r="I13" s="5">
        <f>SUM(I7:I12)</f>
        <v>15351.49315862836</v>
      </c>
      <c r="J13" s="5">
        <f>SUM(J7:J12)</f>
        <v>15208.279218154812</v>
      </c>
      <c r="K13" s="5">
        <f>SUM(K7:K12)</f>
        <v>15071.636618563141</v>
      </c>
    </row>
    <row r="14" spans="1:11" s="25" customFormat="1" x14ac:dyDescent="0.3">
      <c r="A14" s="12" t="s">
        <v>49</v>
      </c>
      <c r="B14" s="24">
        <v>7427.77</v>
      </c>
      <c r="C14" s="24">
        <v>7501.85</v>
      </c>
      <c r="D14" s="24">
        <v>7323.32</v>
      </c>
      <c r="E14" s="24">
        <v>16473.5</v>
      </c>
      <c r="F14" s="24">
        <v>16817.7</v>
      </c>
      <c r="G14" s="14">
        <f>G13+G6</f>
        <v>16794.828501370903</v>
      </c>
      <c r="H14" s="14">
        <f>H13+H6</f>
        <v>16888.531144429158</v>
      </c>
      <c r="I14" s="14">
        <f>I13+I6</f>
        <v>17150.835660692042</v>
      </c>
      <c r="J14" s="14">
        <f>J13+J6</f>
        <v>17588.888181069284</v>
      </c>
      <c r="K14" s="14">
        <f>K13+K6</f>
        <v>18210.228582889864</v>
      </c>
    </row>
    <row r="15" spans="1:11" s="25" customFormat="1" x14ac:dyDescent="0.3">
      <c r="B15" s="26"/>
      <c r="C15" s="26"/>
      <c r="D15" s="26"/>
      <c r="E15" s="26"/>
      <c r="F15" s="26"/>
    </row>
    <row r="16" spans="1:11" x14ac:dyDescent="0.3">
      <c r="A16" t="s">
        <v>50</v>
      </c>
      <c r="B16" s="23">
        <v>380.98</v>
      </c>
      <c r="C16" s="23">
        <v>250.16</v>
      </c>
      <c r="D16" s="23">
        <v>343.23</v>
      </c>
      <c r="E16" s="23">
        <v>733</v>
      </c>
      <c r="F16" s="23">
        <v>776.1</v>
      </c>
      <c r="G16" s="5">
        <f>$F$16/IS!$F$7*IS!G7</f>
        <v>879.07296851297576</v>
      </c>
      <c r="H16" s="5">
        <f>$F$16/IS!$F$7*IS!H7</f>
        <v>940.09097456270024</v>
      </c>
      <c r="I16" s="5">
        <f>$F$16/IS!$F$7*IS!I7</f>
        <v>1004.5839043467815</v>
      </c>
      <c r="J16" s="5">
        <f>$F$16/IS!$F$7*IS!J7</f>
        <v>1072.7321229542893</v>
      </c>
      <c r="K16" s="5">
        <f>$F$16/IS!$F$7*IS!K7</f>
        <v>1144.7248648034424</v>
      </c>
    </row>
    <row r="17" spans="1:11" x14ac:dyDescent="0.3">
      <c r="A17" t="s">
        <v>51</v>
      </c>
      <c r="B17" s="23" t="s">
        <v>42</v>
      </c>
      <c r="C17" s="23" t="s">
        <v>42</v>
      </c>
      <c r="D17" s="23" t="s">
        <v>42</v>
      </c>
      <c r="E17" s="23" t="s">
        <v>42</v>
      </c>
      <c r="F17" s="23" t="s">
        <v>42</v>
      </c>
      <c r="G17" s="5" t="str">
        <f t="shared" ref="G17:K18" si="1">F17</f>
        <v>-</v>
      </c>
      <c r="H17" s="5" t="str">
        <f t="shared" si="1"/>
        <v>-</v>
      </c>
      <c r="I17" s="5" t="str">
        <f t="shared" si="1"/>
        <v>-</v>
      </c>
      <c r="J17" s="5" t="str">
        <f t="shared" si="1"/>
        <v>-</v>
      </c>
      <c r="K17" s="5" t="str">
        <f t="shared" si="1"/>
        <v>-</v>
      </c>
    </row>
    <row r="18" spans="1:11" x14ac:dyDescent="0.3">
      <c r="A18" t="s">
        <v>52</v>
      </c>
      <c r="B18" s="23">
        <v>909.5</v>
      </c>
      <c r="C18" s="23">
        <v>880.35</v>
      </c>
      <c r="D18" s="23">
        <v>1091.24</v>
      </c>
      <c r="E18" s="23">
        <v>1318.3</v>
      </c>
      <c r="F18" s="23">
        <v>1574.2</v>
      </c>
      <c r="G18" s="5">
        <f t="shared" si="1"/>
        <v>1574.2</v>
      </c>
      <c r="H18" s="5">
        <f t="shared" si="1"/>
        <v>1574.2</v>
      </c>
      <c r="I18" s="5">
        <f t="shared" si="1"/>
        <v>1574.2</v>
      </c>
      <c r="J18" s="5">
        <f t="shared" si="1"/>
        <v>1574.2</v>
      </c>
      <c r="K18" s="5">
        <f t="shared" si="1"/>
        <v>1574.2</v>
      </c>
    </row>
    <row r="19" spans="1:11" x14ac:dyDescent="0.3">
      <c r="A19" t="s">
        <v>53</v>
      </c>
      <c r="B19" s="23">
        <v>1290.48</v>
      </c>
      <c r="C19" s="23">
        <v>1130.51</v>
      </c>
      <c r="D19" s="23">
        <v>1434.47</v>
      </c>
      <c r="E19" s="23">
        <v>2051.3000000000002</v>
      </c>
      <c r="F19" s="23">
        <v>2350.3000000000002</v>
      </c>
      <c r="G19" s="5">
        <f>SUM(G16:G18)</f>
        <v>2453.2729685129757</v>
      </c>
      <c r="H19" s="5">
        <f>SUM(H16:H18)</f>
        <v>2514.2909745627003</v>
      </c>
      <c r="I19" s="5">
        <f>SUM(I16:I18)</f>
        <v>2578.7839043467816</v>
      </c>
      <c r="J19" s="5">
        <f>SUM(J16:J18)</f>
        <v>2646.9321229542893</v>
      </c>
      <c r="K19" s="5">
        <f>SUM(K16:K18)</f>
        <v>2718.9248648034427</v>
      </c>
    </row>
    <row r="20" spans="1:11" x14ac:dyDescent="0.3">
      <c r="A20" t="s">
        <v>54</v>
      </c>
      <c r="B20" s="23">
        <v>4482.55</v>
      </c>
      <c r="C20" s="23">
        <v>4389.41</v>
      </c>
      <c r="D20" s="23">
        <v>4447.17</v>
      </c>
      <c r="E20" s="23">
        <v>7056.3</v>
      </c>
      <c r="F20" s="23">
        <v>7053.9</v>
      </c>
      <c r="G20" s="5">
        <f>S!G42</f>
        <v>6653.9</v>
      </c>
      <c r="H20" s="5">
        <f>S!H42</f>
        <v>6253.9</v>
      </c>
      <c r="I20" s="5">
        <f>S!I42</f>
        <v>5853.9</v>
      </c>
      <c r="J20" s="5">
        <f>S!J42</f>
        <v>5453.9</v>
      </c>
      <c r="K20" s="5">
        <f>S!K42</f>
        <v>5053.8999999999996</v>
      </c>
    </row>
    <row r="21" spans="1:11" x14ac:dyDescent="0.3">
      <c r="A21" t="s">
        <v>55</v>
      </c>
      <c r="B21" s="23" t="s">
        <v>42</v>
      </c>
      <c r="C21" s="23" t="s">
        <v>42</v>
      </c>
      <c r="D21" s="23" t="s">
        <v>42</v>
      </c>
      <c r="E21" s="23" t="s">
        <v>42</v>
      </c>
      <c r="F21" s="23" t="s">
        <v>42</v>
      </c>
      <c r="G21" s="5" t="str">
        <f t="shared" ref="G21:K22" si="2">F21</f>
        <v>-</v>
      </c>
      <c r="H21" s="5" t="str">
        <f t="shared" si="2"/>
        <v>-</v>
      </c>
      <c r="I21" s="5" t="str">
        <f t="shared" si="2"/>
        <v>-</v>
      </c>
      <c r="J21" s="5" t="str">
        <f t="shared" si="2"/>
        <v>-</v>
      </c>
      <c r="K21" s="5" t="str">
        <f t="shared" si="2"/>
        <v>-</v>
      </c>
    </row>
    <row r="22" spans="1:11" x14ac:dyDescent="0.3">
      <c r="A22" t="s">
        <v>56</v>
      </c>
      <c r="B22" s="23">
        <v>174.23</v>
      </c>
      <c r="C22" s="23">
        <v>148.53</v>
      </c>
      <c r="D22" s="23">
        <v>71.569999999999993</v>
      </c>
      <c r="E22" s="23">
        <v>36.4</v>
      </c>
      <c r="F22" s="23">
        <v>90.3</v>
      </c>
      <c r="G22" s="5">
        <f t="shared" si="2"/>
        <v>90.3</v>
      </c>
      <c r="H22" s="5">
        <f t="shared" si="2"/>
        <v>90.3</v>
      </c>
      <c r="I22" s="5">
        <f t="shared" si="2"/>
        <v>90.3</v>
      </c>
      <c r="J22" s="5">
        <f t="shared" si="2"/>
        <v>90.3</v>
      </c>
      <c r="K22" s="5">
        <f t="shared" si="2"/>
        <v>90.3</v>
      </c>
    </row>
    <row r="23" spans="1:11" x14ac:dyDescent="0.3">
      <c r="A23" t="s">
        <v>57</v>
      </c>
      <c r="B23" s="23">
        <v>4656.78</v>
      </c>
      <c r="C23" s="23">
        <v>4537.9399999999996</v>
      </c>
      <c r="D23" s="23">
        <v>4518.74</v>
      </c>
      <c r="E23" s="23">
        <v>7092.7</v>
      </c>
      <c r="F23" s="23">
        <v>7144.2</v>
      </c>
      <c r="G23" s="5">
        <f>SUM(G20:G22)</f>
        <v>6744.2</v>
      </c>
      <c r="H23" s="5">
        <f>SUM(H20:H22)</f>
        <v>6344.2</v>
      </c>
      <c r="I23" s="5">
        <f>SUM(I20:I22)</f>
        <v>5944.2</v>
      </c>
      <c r="J23" s="5">
        <f>SUM(J20:J22)</f>
        <v>5544.2</v>
      </c>
      <c r="K23" s="5">
        <f>SUM(K20:K22)</f>
        <v>5144.2</v>
      </c>
    </row>
    <row r="24" spans="1:11" x14ac:dyDescent="0.3">
      <c r="A24" t="s">
        <v>58</v>
      </c>
      <c r="B24" s="23">
        <v>5947.26</v>
      </c>
      <c r="C24" s="23">
        <v>5668.45</v>
      </c>
      <c r="D24" s="23">
        <v>5953.21</v>
      </c>
      <c r="E24" s="23">
        <v>9144</v>
      </c>
      <c r="F24" s="23">
        <v>9494.5</v>
      </c>
      <c r="G24" s="5">
        <f>G23+G19</f>
        <v>9197.4729685129751</v>
      </c>
      <c r="H24" s="5">
        <f>H23+H19</f>
        <v>8858.490974562701</v>
      </c>
      <c r="I24" s="5">
        <f>I23+I19</f>
        <v>8522.9839043467819</v>
      </c>
      <c r="J24" s="5">
        <f>J23+J19</f>
        <v>8191.1321229542891</v>
      </c>
      <c r="K24" s="5">
        <f>K23+K19</f>
        <v>7863.1248648034425</v>
      </c>
    </row>
    <row r="25" spans="1:11" x14ac:dyDescent="0.3">
      <c r="A25" t="s">
        <v>59</v>
      </c>
      <c r="B25" s="23">
        <v>51.35</v>
      </c>
      <c r="C25" s="23">
        <v>60.76</v>
      </c>
      <c r="D25" s="23">
        <v>61</v>
      </c>
      <c r="E25" s="23">
        <v>98</v>
      </c>
      <c r="F25" s="23">
        <v>98.1</v>
      </c>
      <c r="G25" s="5">
        <f t="shared" ref="G25:K26" si="3">F25</f>
        <v>98.1</v>
      </c>
      <c r="H25" s="5">
        <f t="shared" si="3"/>
        <v>98.1</v>
      </c>
      <c r="I25" s="5">
        <f t="shared" si="3"/>
        <v>98.1</v>
      </c>
      <c r="J25" s="5">
        <f t="shared" si="3"/>
        <v>98.1</v>
      </c>
      <c r="K25" s="5">
        <f t="shared" si="3"/>
        <v>98.1</v>
      </c>
    </row>
    <row r="26" spans="1:11" x14ac:dyDescent="0.3">
      <c r="A26" t="s">
        <v>60</v>
      </c>
      <c r="B26" s="23">
        <v>1226.27</v>
      </c>
      <c r="C26" s="23">
        <v>2314.67</v>
      </c>
      <c r="D26" s="23">
        <v>2337.8000000000002</v>
      </c>
      <c r="E26" s="23">
        <v>8584.2000000000007</v>
      </c>
      <c r="F26" s="23">
        <v>8609</v>
      </c>
      <c r="G26" s="5">
        <f t="shared" si="3"/>
        <v>8609</v>
      </c>
      <c r="H26" s="5">
        <f t="shared" si="3"/>
        <v>8609</v>
      </c>
      <c r="I26" s="5">
        <f t="shared" si="3"/>
        <v>8609</v>
      </c>
      <c r="J26" s="5">
        <f t="shared" si="3"/>
        <v>8609</v>
      </c>
      <c r="K26" s="5">
        <f t="shared" si="3"/>
        <v>8609</v>
      </c>
    </row>
    <row r="27" spans="1:11" x14ac:dyDescent="0.3">
      <c r="A27" t="s">
        <v>61</v>
      </c>
      <c r="B27" s="23">
        <v>202.6</v>
      </c>
      <c r="C27" s="23">
        <v>-542.04</v>
      </c>
      <c r="D27" s="23">
        <v>-1028.92</v>
      </c>
      <c r="E27" s="23">
        <v>-1352.7</v>
      </c>
      <c r="F27" s="23">
        <v>-1383.6</v>
      </c>
      <c r="G27" s="23">
        <f>IS!G14+F27</f>
        <v>-1109.4444671420752</v>
      </c>
      <c r="H27" s="23">
        <f>IS!H14+G27</f>
        <v>-676.75983013354312</v>
      </c>
      <c r="I27" s="23">
        <f>IS!I14+H27</f>
        <v>-78.948243654739599</v>
      </c>
      <c r="J27" s="23">
        <f>IS!J14+I27</f>
        <v>690.95605811499649</v>
      </c>
      <c r="K27" s="23">
        <f>IS!K14+J27</f>
        <v>1640.3037180864221</v>
      </c>
    </row>
    <row r="28" spans="1:11" x14ac:dyDescent="0.3">
      <c r="A28" t="s">
        <v>62</v>
      </c>
      <c r="B28" s="23">
        <v>0.28999999999999998</v>
      </c>
      <c r="C28" s="23">
        <v>0.01</v>
      </c>
      <c r="D28" s="23">
        <v>-0.26</v>
      </c>
      <c r="E28" s="23">
        <v>-0.7</v>
      </c>
      <c r="F28" s="23">
        <v>-0.3</v>
      </c>
      <c r="G28" s="5">
        <f t="shared" ref="G28:K29" si="4">F28</f>
        <v>-0.3</v>
      </c>
      <c r="H28" s="5">
        <f t="shared" si="4"/>
        <v>-0.3</v>
      </c>
      <c r="I28" s="5">
        <f t="shared" si="4"/>
        <v>-0.3</v>
      </c>
      <c r="J28" s="5">
        <f t="shared" si="4"/>
        <v>-0.3</v>
      </c>
      <c r="K28" s="5">
        <f t="shared" si="4"/>
        <v>-0.3</v>
      </c>
    </row>
    <row r="29" spans="1:11" x14ac:dyDescent="0.3">
      <c r="A29" t="s">
        <v>63</v>
      </c>
      <c r="B29" s="23">
        <v>0</v>
      </c>
      <c r="C29" s="23">
        <v>0</v>
      </c>
      <c r="D29" s="23">
        <v>0.49</v>
      </c>
      <c r="E29" s="23">
        <v>0.7</v>
      </c>
      <c r="F29" s="23">
        <v>0</v>
      </c>
      <c r="G29" s="5">
        <f t="shared" si="4"/>
        <v>0</v>
      </c>
      <c r="H29" s="5">
        <f t="shared" si="4"/>
        <v>0</v>
      </c>
      <c r="I29" s="5">
        <f t="shared" si="4"/>
        <v>0</v>
      </c>
      <c r="J29" s="5">
        <f t="shared" si="4"/>
        <v>0</v>
      </c>
      <c r="K29" s="5">
        <f t="shared" si="4"/>
        <v>0</v>
      </c>
    </row>
    <row r="30" spans="1:11" x14ac:dyDescent="0.3">
      <c r="A30" t="s">
        <v>64</v>
      </c>
      <c r="B30" s="23">
        <v>1480.51</v>
      </c>
      <c r="C30" s="23">
        <v>1833.4</v>
      </c>
      <c r="D30" s="23">
        <v>1370.11</v>
      </c>
      <c r="E30" s="23">
        <v>7329.5</v>
      </c>
      <c r="F30" s="23">
        <v>7323.2</v>
      </c>
      <c r="G30" s="5">
        <f>SUM(G25:G29)</f>
        <v>7597.355532857925</v>
      </c>
      <c r="H30" s="5">
        <f>SUM(H25:H29)</f>
        <v>8030.0401698664573</v>
      </c>
      <c r="I30" s="5">
        <f>SUM(I25:I29)</f>
        <v>8627.8517563452624</v>
      </c>
      <c r="J30" s="5">
        <f>SUM(J25:J29)</f>
        <v>9397.7560581149974</v>
      </c>
      <c r="K30" s="5">
        <f>SUM(K25:K29)</f>
        <v>10347.103718086422</v>
      </c>
    </row>
    <row r="31" spans="1:11" s="25" customFormat="1" x14ac:dyDescent="0.3">
      <c r="A31" s="12" t="s">
        <v>65</v>
      </c>
      <c r="B31" s="24">
        <v>7427.77</v>
      </c>
      <c r="C31" s="24">
        <v>7501.85</v>
      </c>
      <c r="D31" s="24">
        <v>7323.32</v>
      </c>
      <c r="E31" s="24">
        <v>16473.5</v>
      </c>
      <c r="F31" s="24">
        <v>16817.7</v>
      </c>
      <c r="G31" s="14">
        <f>G30+G24</f>
        <v>16794.828501370899</v>
      </c>
      <c r="H31" s="14">
        <f>H30+H24</f>
        <v>16888.531144429158</v>
      </c>
      <c r="I31" s="14">
        <f>I30+I24</f>
        <v>17150.835660692042</v>
      </c>
      <c r="J31" s="14">
        <f>J30+J24</f>
        <v>17588.888181069287</v>
      </c>
      <c r="K31" s="14">
        <f>K30+K24</f>
        <v>18210.228582889864</v>
      </c>
    </row>
    <row r="33" spans="1:11" x14ac:dyDescent="0.3">
      <c r="H33" s="5"/>
      <c r="I33" s="5"/>
      <c r="J33" s="5"/>
      <c r="K33" s="5"/>
    </row>
    <row r="34" spans="1:11" x14ac:dyDescent="0.3">
      <c r="A34" t="s">
        <v>74</v>
      </c>
      <c r="B34" s="5">
        <f t="shared" ref="B34:K34" si="5">B31-B14</f>
        <v>0</v>
      </c>
      <c r="C34" s="5">
        <f t="shared" si="5"/>
        <v>0</v>
      </c>
      <c r="D34" s="5">
        <f t="shared" si="5"/>
        <v>0</v>
      </c>
      <c r="E34" s="5">
        <f t="shared" si="5"/>
        <v>0</v>
      </c>
      <c r="F34" s="5">
        <f t="shared" si="5"/>
        <v>0</v>
      </c>
      <c r="G34" s="5">
        <f t="shared" si="5"/>
        <v>0</v>
      </c>
      <c r="H34" s="5">
        <f t="shared" si="5"/>
        <v>0</v>
      </c>
      <c r="I34" s="5">
        <f t="shared" si="5"/>
        <v>0</v>
      </c>
      <c r="J34" s="5">
        <f t="shared" si="5"/>
        <v>0</v>
      </c>
      <c r="K34" s="5">
        <f t="shared" si="5"/>
        <v>0</v>
      </c>
    </row>
  </sheetData>
  <pageMargins left="0.7" right="0.7" top="0.75" bottom="0.75" header="0.3" footer="0.3"/>
  <ignoredErrors>
    <ignoredError sqref="G6:K6 G19:K19 G8:K8 H27:K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4AC8-D4B6-4341-B6D5-797889CA6A8F}">
  <dimension ref="A1:K19"/>
  <sheetViews>
    <sheetView zoomScale="130" workbookViewId="0">
      <selection activeCell="A5" sqref="A5:XFD5"/>
    </sheetView>
  </sheetViews>
  <sheetFormatPr defaultRowHeight="14.4" x14ac:dyDescent="0.3"/>
  <cols>
    <col min="1" max="1" width="40.109375" bestFit="1" customWidth="1"/>
  </cols>
  <sheetData>
    <row r="1" spans="1:11" x14ac:dyDescent="0.3">
      <c r="A1" s="7" t="s">
        <v>87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</row>
    <row r="2" spans="1:11" x14ac:dyDescent="0.3">
      <c r="A2" t="s">
        <v>75</v>
      </c>
      <c r="G2" s="4">
        <f>IS!G14</f>
        <v>274.15553285792464</v>
      </c>
      <c r="H2" s="4">
        <f>IS!H14</f>
        <v>432.68463700853204</v>
      </c>
      <c r="I2" s="4">
        <f>IS!I14</f>
        <v>597.81158647880352</v>
      </c>
      <c r="J2" s="4">
        <f>IS!J14</f>
        <v>769.90430176973609</v>
      </c>
      <c r="K2" s="4">
        <f>IS!K14</f>
        <v>949.34765997142551</v>
      </c>
    </row>
    <row r="3" spans="1:11" x14ac:dyDescent="0.3">
      <c r="A3" t="s">
        <v>76</v>
      </c>
      <c r="G3" s="4">
        <f>IS!G9</f>
        <v>1206.8856383908947</v>
      </c>
      <c r="H3" s="4">
        <f>IS!H9</f>
        <v>1199.3198963073396</v>
      </c>
      <c r="I3" s="4">
        <f>IS!I9</f>
        <v>1192.1013066734063</v>
      </c>
      <c r="J3" s="4">
        <f>IS!J9</f>
        <v>1185.2139404735476</v>
      </c>
      <c r="K3" s="4">
        <f>IS!K9</f>
        <v>1178.6425995916707</v>
      </c>
    </row>
    <row r="4" spans="1:11" x14ac:dyDescent="0.3">
      <c r="A4" t="s">
        <v>77</v>
      </c>
      <c r="G4" s="4">
        <f>IS!G11</f>
        <v>740.85865444520607</v>
      </c>
      <c r="H4" s="4">
        <f>IS!H11</f>
        <v>697.62145200891689</v>
      </c>
      <c r="I4" s="4">
        <f>IS!I11</f>
        <v>654.38424957262771</v>
      </c>
      <c r="J4" s="4">
        <f>IS!J11</f>
        <v>611.14704713633853</v>
      </c>
      <c r="K4" s="4">
        <f>IS!K11</f>
        <v>567.90984470004935</v>
      </c>
    </row>
    <row r="5" spans="1:11" x14ac:dyDescent="0.3">
      <c r="A5" t="s">
        <v>78</v>
      </c>
      <c r="G5" s="4">
        <f>BS!F3-BS!G3+BS!F4-BS!G4+BS!G16-BS!F16</f>
        <v>57.211797494873849</v>
      </c>
      <c r="H5" s="4">
        <f>BS!G3-BS!H3+BS!G4-BS!H4+BS!H16-BS!G16</f>
        <v>36.525289473173871</v>
      </c>
      <c r="I5" s="4">
        <f>BS!H3-BS!I3+BS!H4-BS!I4+BS!I16-BS!H16</f>
        <v>38.605373755035657</v>
      </c>
      <c r="J5" s="4">
        <f>BS!I3-BS!J3+BS!I4-BS!J4+BS!J16-BS!I16</f>
        <v>40.793424316289702</v>
      </c>
      <c r="K5" s="4">
        <f>BS!J3-BS!K3+BS!J4-BS!K4+BS!K16-BS!J16</f>
        <v>43.094750324435836</v>
      </c>
    </row>
    <row r="6" spans="1:11" x14ac:dyDescent="0.3">
      <c r="A6" t="s">
        <v>79</v>
      </c>
      <c r="G6" s="4">
        <f>SUM(G2:G5)</f>
        <v>2279.1116231888991</v>
      </c>
      <c r="H6" s="4">
        <f>SUM(H2:H5)</f>
        <v>2366.1512747979623</v>
      </c>
      <c r="I6" s="4">
        <f>SUM(I2:I5)</f>
        <v>2482.9025164798732</v>
      </c>
      <c r="J6" s="4">
        <f>SUM(J2:J5)</f>
        <v>2607.058713695912</v>
      </c>
      <c r="K6" s="4">
        <f>SUM(K2:K5)</f>
        <v>2738.9948545875814</v>
      </c>
    </row>
    <row r="7" spans="1:11" x14ac:dyDescent="0.3">
      <c r="G7" s="4"/>
      <c r="H7" s="4"/>
      <c r="I7" s="4"/>
      <c r="J7" s="4"/>
      <c r="K7" s="4"/>
    </row>
    <row r="8" spans="1:11" x14ac:dyDescent="0.3">
      <c r="A8" t="s">
        <v>80</v>
      </c>
      <c r="G8" s="4">
        <f>S!G24+S!G33</f>
        <v>1042</v>
      </c>
      <c r="H8" s="4">
        <f>S!H24+S!H33</f>
        <v>1042</v>
      </c>
      <c r="I8" s="4">
        <f>S!I24+S!I33</f>
        <v>1042</v>
      </c>
      <c r="J8" s="4">
        <f>S!J24+S!J33</f>
        <v>1042</v>
      </c>
      <c r="K8" s="4">
        <f>S!K24+S!K33</f>
        <v>1042</v>
      </c>
    </row>
    <row r="9" spans="1:11" x14ac:dyDescent="0.3">
      <c r="A9" t="s">
        <v>81</v>
      </c>
      <c r="G9" s="4">
        <f>-G8</f>
        <v>-1042</v>
      </c>
      <c r="H9" s="4">
        <f>-H8</f>
        <v>-1042</v>
      </c>
      <c r="I9" s="4">
        <f>-I8</f>
        <v>-1042</v>
      </c>
      <c r="J9" s="4">
        <f>-J8</f>
        <v>-1042</v>
      </c>
      <c r="K9" s="4">
        <f>-K8</f>
        <v>-1042</v>
      </c>
    </row>
    <row r="10" spans="1:11" x14ac:dyDescent="0.3">
      <c r="G10" s="4"/>
      <c r="H10" s="4"/>
      <c r="I10" s="4"/>
      <c r="J10" s="4"/>
      <c r="K10" s="4"/>
    </row>
    <row r="11" spans="1:11" x14ac:dyDescent="0.3">
      <c r="A11" t="s">
        <v>82</v>
      </c>
      <c r="G11" s="4">
        <f>-G4</f>
        <v>-740.85865444520607</v>
      </c>
      <c r="H11" s="4">
        <f>-H4</f>
        <v>-697.62145200891689</v>
      </c>
      <c r="I11" s="4">
        <f>-I4</f>
        <v>-654.38424957262771</v>
      </c>
      <c r="J11" s="4">
        <f>-J4</f>
        <v>-611.14704713633853</v>
      </c>
      <c r="K11" s="4">
        <f>-K4</f>
        <v>-567.90984470004935</v>
      </c>
    </row>
    <row r="12" spans="1:11" x14ac:dyDescent="0.3">
      <c r="A12" t="s">
        <v>83</v>
      </c>
      <c r="G12" s="4"/>
      <c r="H12" s="4"/>
      <c r="I12" s="4"/>
      <c r="J12" s="4"/>
      <c r="K12" s="4"/>
    </row>
    <row r="13" spans="1:11" x14ac:dyDescent="0.3">
      <c r="A13" t="s">
        <v>84</v>
      </c>
      <c r="G13" s="4">
        <f>-S!G41</f>
        <v>-400</v>
      </c>
      <c r="H13" s="4">
        <f>-S!H41</f>
        <v>-400</v>
      </c>
      <c r="I13" s="4">
        <f>-S!I41</f>
        <v>-400</v>
      </c>
      <c r="J13" s="4">
        <f>-S!J41</f>
        <v>-400</v>
      </c>
      <c r="K13" s="4">
        <f>-S!K41</f>
        <v>-400</v>
      </c>
    </row>
    <row r="14" spans="1:11" x14ac:dyDescent="0.3">
      <c r="A14" t="s">
        <v>85</v>
      </c>
      <c r="G14" s="4"/>
      <c r="H14" s="4"/>
      <c r="I14" s="4"/>
      <c r="J14" s="4"/>
      <c r="K14" s="4"/>
    </row>
    <row r="15" spans="1:11" x14ac:dyDescent="0.3">
      <c r="A15" t="s">
        <v>86</v>
      </c>
      <c r="G15" s="4">
        <f>SUM(G11:G14)</f>
        <v>-1140.858654445206</v>
      </c>
      <c r="H15" s="4">
        <f>SUM(H11:H14)</f>
        <v>-1097.621452008917</v>
      </c>
      <c r="I15" s="4">
        <f>SUM(I11:I14)</f>
        <v>-1054.3842495726276</v>
      </c>
      <c r="J15" s="4">
        <f>SUM(J11:J14)</f>
        <v>-1011.1470471363385</v>
      </c>
      <c r="K15" s="4">
        <f>SUM(K11:K14)</f>
        <v>-967.90984470004935</v>
      </c>
    </row>
    <row r="17" spans="1:11" x14ac:dyDescent="0.3">
      <c r="A17" t="s">
        <v>89</v>
      </c>
      <c r="G17" s="5">
        <f>F19</f>
        <v>419.9</v>
      </c>
      <c r="H17" s="5">
        <f>G19</f>
        <v>516.15296874369312</v>
      </c>
      <c r="I17" s="5">
        <f>H19</f>
        <v>742.68279153273841</v>
      </c>
      <c r="J17" s="5">
        <f>I19</f>
        <v>1129.2010584399841</v>
      </c>
      <c r="K17" s="5">
        <f>J19</f>
        <v>1683.1127249995575</v>
      </c>
    </row>
    <row r="18" spans="1:11" x14ac:dyDescent="0.3">
      <c r="A18" t="s">
        <v>88</v>
      </c>
      <c r="G18" s="5">
        <f>G15+G9+G6</f>
        <v>96.252968743693145</v>
      </c>
      <c r="H18" s="5">
        <f>H15+H9+H6</f>
        <v>226.52982278904528</v>
      </c>
      <c r="I18" s="5">
        <f>I15+I9+I6</f>
        <v>386.51826690724556</v>
      </c>
      <c r="J18" s="5">
        <f>J15+J9+J6</f>
        <v>553.9116665595734</v>
      </c>
      <c r="K18" s="5">
        <f>K15+K9+K6</f>
        <v>729.08500988753212</v>
      </c>
    </row>
    <row r="19" spans="1:11" x14ac:dyDescent="0.3">
      <c r="A19" t="s">
        <v>90</v>
      </c>
      <c r="F19" s="5">
        <f>BS!F2</f>
        <v>419.9</v>
      </c>
      <c r="G19" s="5">
        <f>G17+G18</f>
        <v>516.15296874369312</v>
      </c>
      <c r="H19" s="5">
        <f>H17+H18</f>
        <v>742.68279153273841</v>
      </c>
      <c r="I19" s="5">
        <f>I17+I18</f>
        <v>1129.2010584399841</v>
      </c>
      <c r="J19" s="5">
        <f>J17+J18</f>
        <v>1683.1127249995575</v>
      </c>
      <c r="K19" s="5">
        <f>K17+K18</f>
        <v>2412.1977348870896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A7FB-EB0C-4EAD-8FEB-8BF091628AAC}">
  <dimension ref="A1:U46"/>
  <sheetViews>
    <sheetView topLeftCell="A27" zoomScale="144" workbookViewId="0">
      <selection activeCell="O33" sqref="O33"/>
    </sheetView>
  </sheetViews>
  <sheetFormatPr defaultRowHeight="14.4" x14ac:dyDescent="0.3"/>
  <cols>
    <col min="1" max="1" width="34.21875" bestFit="1" customWidth="1"/>
    <col min="2" max="2" width="9.6640625" bestFit="1" customWidth="1"/>
    <col min="7" max="10" width="9.21875" bestFit="1" customWidth="1"/>
    <col min="11" max="11" width="10.33203125" bestFit="1" customWidth="1"/>
  </cols>
  <sheetData>
    <row r="1" spans="1:11" x14ac:dyDescent="0.3">
      <c r="A1" s="7" t="s">
        <v>91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</row>
    <row r="2" spans="1:11" x14ac:dyDescent="0.3">
      <c r="A2" t="s">
        <v>75</v>
      </c>
      <c r="G2" s="4">
        <f>IS!G14</f>
        <v>274.15553285792464</v>
      </c>
      <c r="H2" s="4">
        <f>IS!H14</f>
        <v>432.68463700853204</v>
      </c>
      <c r="I2" s="4">
        <f>IS!I14</f>
        <v>597.81158647880352</v>
      </c>
      <c r="J2" s="4">
        <f>IS!J14</f>
        <v>769.90430176973609</v>
      </c>
      <c r="K2" s="4">
        <f>IS!K14</f>
        <v>949.34765997142551</v>
      </c>
    </row>
    <row r="3" spans="1:11" x14ac:dyDescent="0.3">
      <c r="A3" t="s">
        <v>92</v>
      </c>
      <c r="G3" s="4">
        <f>IS!G9</f>
        <v>1206.8856383908947</v>
      </c>
      <c r="H3" s="4">
        <f>IS!H9</f>
        <v>1199.3198963073396</v>
      </c>
      <c r="I3" s="4">
        <f>IS!I9</f>
        <v>1192.1013066734063</v>
      </c>
      <c r="J3" s="4">
        <f>IS!J9</f>
        <v>1185.2139404735476</v>
      </c>
      <c r="K3" s="4">
        <f>IS!K9</f>
        <v>1178.6425995916707</v>
      </c>
    </row>
    <row r="4" spans="1:11" x14ac:dyDescent="0.3">
      <c r="A4" t="s">
        <v>93</v>
      </c>
      <c r="G4" s="4">
        <f>CFS!G5</f>
        <v>57.211797494873849</v>
      </c>
      <c r="H4" s="4">
        <f>CFS!H5</f>
        <v>36.525289473173871</v>
      </c>
      <c r="I4" s="4">
        <f>CFS!I5</f>
        <v>38.605373755035657</v>
      </c>
      <c r="J4" s="4">
        <f>CFS!J5</f>
        <v>40.793424316289702</v>
      </c>
      <c r="K4" s="4">
        <f>CFS!K5</f>
        <v>43.094750324435836</v>
      </c>
    </row>
    <row r="5" spans="1:11" x14ac:dyDescent="0.3">
      <c r="A5" t="s">
        <v>94</v>
      </c>
      <c r="G5" s="23">
        <f>CFS!G9</f>
        <v>-1042</v>
      </c>
      <c r="H5" s="23">
        <f>CFS!H9</f>
        <v>-1042</v>
      </c>
      <c r="I5" s="23">
        <f>CFS!I9</f>
        <v>-1042</v>
      </c>
      <c r="J5" s="23">
        <f>CFS!J9</f>
        <v>-1042</v>
      </c>
      <c r="K5" s="23">
        <f>CFS!K9</f>
        <v>-1042</v>
      </c>
    </row>
    <row r="6" spans="1:11" x14ac:dyDescent="0.3">
      <c r="A6" t="s">
        <v>83</v>
      </c>
      <c r="G6" s="4"/>
      <c r="H6" s="4"/>
      <c r="I6" s="4"/>
      <c r="J6" s="4"/>
      <c r="K6" s="4"/>
    </row>
    <row r="7" spans="1:11" x14ac:dyDescent="0.3">
      <c r="A7" s="16" t="s">
        <v>84</v>
      </c>
      <c r="B7" s="16"/>
      <c r="C7" s="16"/>
      <c r="D7" s="16"/>
      <c r="E7" s="16"/>
      <c r="F7" s="16"/>
      <c r="G7" s="17">
        <f>CFS!G13</f>
        <v>-400</v>
      </c>
      <c r="H7" s="17">
        <f>CFS!H13</f>
        <v>-400</v>
      </c>
      <c r="I7" s="17">
        <f>CFS!I13</f>
        <v>-400</v>
      </c>
      <c r="J7" s="17">
        <f>CFS!J13</f>
        <v>-400</v>
      </c>
      <c r="K7" s="17">
        <f>CFS!K13</f>
        <v>-400</v>
      </c>
    </row>
    <row r="8" spans="1:11" x14ac:dyDescent="0.3">
      <c r="A8" t="s">
        <v>95</v>
      </c>
      <c r="G8" s="4">
        <f>SUM(G2:G7)</f>
        <v>96.252968743693145</v>
      </c>
      <c r="H8" s="4">
        <f t="shared" ref="H8:K8" si="0">SUM(H2:H7)</f>
        <v>226.52982278904551</v>
      </c>
      <c r="I8" s="4">
        <f t="shared" si="0"/>
        <v>386.51826690724556</v>
      </c>
      <c r="J8" s="4">
        <f t="shared" si="0"/>
        <v>553.9116665595734</v>
      </c>
      <c r="K8" s="4">
        <f t="shared" si="0"/>
        <v>729.08500988753167</v>
      </c>
    </row>
    <row r="9" spans="1:11" x14ac:dyDescent="0.3">
      <c r="A9" s="16" t="s">
        <v>96</v>
      </c>
      <c r="B9" s="16"/>
      <c r="C9" s="16"/>
      <c r="D9" s="16"/>
      <c r="E9" s="16"/>
      <c r="F9" s="16"/>
      <c r="G9" s="16"/>
      <c r="H9" s="16"/>
      <c r="I9" s="16"/>
      <c r="J9" s="16"/>
      <c r="K9" s="27">
        <f>K8*(1+B22)/(B23-B22)</f>
        <v>7492.5732241406431</v>
      </c>
    </row>
    <row r="10" spans="1:11" x14ac:dyDescent="0.3">
      <c r="A10" t="s">
        <v>97</v>
      </c>
      <c r="G10" s="5">
        <f>G8+G9</f>
        <v>96.252968743693145</v>
      </c>
      <c r="H10" s="5">
        <f t="shared" ref="H10:K10" si="1">H8+H9</f>
        <v>226.52982278904551</v>
      </c>
      <c r="I10" s="5">
        <f t="shared" si="1"/>
        <v>386.51826690724556</v>
      </c>
      <c r="J10" s="5">
        <f t="shared" si="1"/>
        <v>553.9116665595734</v>
      </c>
      <c r="K10" s="5">
        <f t="shared" si="1"/>
        <v>8221.6582340281748</v>
      </c>
    </row>
    <row r="12" spans="1:11" x14ac:dyDescent="0.3">
      <c r="A12" t="s">
        <v>98</v>
      </c>
      <c r="B12" s="4">
        <f>NPV(B23,G10:K10)</f>
        <v>5092.6026029656041</v>
      </c>
    </row>
    <row r="13" spans="1:11" x14ac:dyDescent="0.3">
      <c r="A13" t="s">
        <v>99</v>
      </c>
      <c r="B13" s="19">
        <v>9.8134446000000004</v>
      </c>
    </row>
    <row r="14" spans="1:11" x14ac:dyDescent="0.3">
      <c r="A14" t="s">
        <v>106</v>
      </c>
      <c r="B14" s="5">
        <f>B12/B13</f>
        <v>518.94139219633485</v>
      </c>
    </row>
    <row r="16" spans="1:11" x14ac:dyDescent="0.3">
      <c r="A16" t="s">
        <v>100</v>
      </c>
      <c r="B16">
        <v>974</v>
      </c>
    </row>
    <row r="17" spans="1:21" x14ac:dyDescent="0.3">
      <c r="H17" s="32">
        <f>B18</f>
        <v>-0.46720596283743854</v>
      </c>
      <c r="I17" s="31">
        <v>1</v>
      </c>
      <c r="J17">
        <f>I17+0.1</f>
        <v>1.1000000000000001</v>
      </c>
      <c r="K17">
        <f t="shared" ref="K17:Q17" si="2">J17+0.1</f>
        <v>1.2000000000000002</v>
      </c>
      <c r="L17">
        <f t="shared" si="2"/>
        <v>1.3000000000000003</v>
      </c>
      <c r="M17">
        <f t="shared" si="2"/>
        <v>1.4000000000000004</v>
      </c>
      <c r="N17">
        <f t="shared" si="2"/>
        <v>1.5000000000000004</v>
      </c>
      <c r="O17">
        <f t="shared" si="2"/>
        <v>1.6000000000000005</v>
      </c>
      <c r="P17">
        <f t="shared" si="2"/>
        <v>1.7000000000000006</v>
      </c>
      <c r="Q17">
        <f t="shared" si="2"/>
        <v>1.8000000000000007</v>
      </c>
    </row>
    <row r="18" spans="1:21" x14ac:dyDescent="0.3">
      <c r="A18" t="s">
        <v>107</v>
      </c>
      <c r="B18" s="9">
        <f>B14/B16-1</f>
        <v>-0.46720596283743854</v>
      </c>
      <c r="C18" s="9"/>
      <c r="H18" s="9">
        <v>0.02</v>
      </c>
      <c r="I18" s="9">
        <f t="dataTable" ref="I18:Q26" dt2D="1" dtr="1" r1="B26" r2="B22" ca="1"/>
        <v>-0.42174495497061215</v>
      </c>
      <c r="J18" s="9">
        <v>-0.4560694709281683</v>
      </c>
      <c r="K18" s="9">
        <v>-0.48701288616542782</v>
      </c>
      <c r="L18" s="9">
        <v>-0.51504114773737431</v>
      </c>
      <c r="M18" s="9">
        <v>-0.54053864143047137</v>
      </c>
      <c r="N18" s="9">
        <v>-0.56382527965602458</v>
      </c>
      <c r="O18" s="9">
        <v>-0.58516946639541223</v>
      </c>
      <c r="P18" s="9">
        <v>-0.60479805489224558</v>
      </c>
      <c r="Q18" s="9">
        <v>-0.62290408158503086</v>
      </c>
    </row>
    <row r="19" spans="1:21" x14ac:dyDescent="0.3">
      <c r="B19" s="9"/>
      <c r="H19" s="9">
        <f>H18+0.5%</f>
        <v>2.5000000000000001E-2</v>
      </c>
      <c r="I19" s="9">
        <v>-0.39623133716154146</v>
      </c>
      <c r="J19" s="9">
        <v>-0.43354963812299696</v>
      </c>
      <c r="K19" s="9">
        <v>-0.46702748952708717</v>
      </c>
      <c r="L19" s="9">
        <v>-0.49721767356083857</v>
      </c>
      <c r="M19" s="9">
        <v>-0.52457205994679046</v>
      </c>
      <c r="N19" s="9">
        <v>-0.54946361764354246</v>
      </c>
      <c r="O19" s="9">
        <v>-0.57220290618755265</v>
      </c>
      <c r="P19" s="9">
        <v>-0.5930505970601373</v>
      </c>
      <c r="Q19" s="9">
        <v>-0.61222709703349554</v>
      </c>
    </row>
    <row r="20" spans="1:21" x14ac:dyDescent="0.3">
      <c r="A20" t="s">
        <v>108</v>
      </c>
      <c r="B20" s="20" t="str">
        <f>IF(B18&gt;15%,"BUY",IF(B18&gt;0%,"HOLD","SELL"))</f>
        <v>SELL</v>
      </c>
      <c r="H20" s="9">
        <f t="shared" ref="H20:H26" si="3">H19+0.5%</f>
        <v>3.0000000000000002E-2</v>
      </c>
      <c r="I20" s="9">
        <v>-0.36788287292924082</v>
      </c>
      <c r="J20" s="9">
        <v>-0.40866675885348469</v>
      </c>
      <c r="K20" s="9">
        <v>-0.44505547294457726</v>
      </c>
      <c r="L20" s="9">
        <v>-0.47771115177556489</v>
      </c>
      <c r="M20" s="9">
        <v>-0.50716963480450516</v>
      </c>
      <c r="N20" s="9">
        <v>-0.53386919494329355</v>
      </c>
      <c r="O20" s="9">
        <v>-0.55817176796591128</v>
      </c>
      <c r="P20" s="9">
        <v>-0.58037887031912982</v>
      </c>
      <c r="Q20" s="9">
        <v>-0.6007436937091859</v>
      </c>
    </row>
    <row r="21" spans="1:21" x14ac:dyDescent="0.3">
      <c r="D21" t="s">
        <v>142</v>
      </c>
      <c r="E21" t="s">
        <v>143</v>
      </c>
      <c r="F21" t="s">
        <v>144</v>
      </c>
      <c r="H21" s="9">
        <f t="shared" si="3"/>
        <v>3.5000000000000003E-2</v>
      </c>
      <c r="I21" s="9">
        <v>-0.33619929525784586</v>
      </c>
      <c r="J21" s="9">
        <v>-0.38102830048435843</v>
      </c>
      <c r="K21" s="9">
        <v>-0.4207851282676629</v>
      </c>
      <c r="L21" s="9">
        <v>-0.45627137708788534</v>
      </c>
      <c r="M21" s="9">
        <v>-0.4881285632269764</v>
      </c>
      <c r="N21" s="9">
        <v>-0.51687616931028701</v>
      </c>
      <c r="O21" s="9">
        <v>-0.5429393336636501</v>
      </c>
      <c r="P21" s="9">
        <v>-0.56666932812021842</v>
      </c>
      <c r="Q21" s="9">
        <v>-0.58835892434686121</v>
      </c>
    </row>
    <row r="22" spans="1:21" x14ac:dyDescent="0.3">
      <c r="A22" t="s">
        <v>101</v>
      </c>
      <c r="B22" s="35">
        <v>0.04</v>
      </c>
      <c r="D22" s="18">
        <v>0.03</v>
      </c>
      <c r="E22" s="18">
        <v>0.04</v>
      </c>
      <c r="F22" s="18">
        <v>0.05</v>
      </c>
      <c r="H22" s="9">
        <f t="shared" si="3"/>
        <v>0.04</v>
      </c>
      <c r="I22" s="9">
        <v>-0.30055527037752672</v>
      </c>
      <c r="J22" s="9">
        <v>-0.35014969459247436</v>
      </c>
      <c r="K22" s="9">
        <v>-0.39383593759991875</v>
      </c>
      <c r="L22" s="9">
        <v>-0.43259596374664167</v>
      </c>
      <c r="M22" s="33">
        <v>-0.46720596283743854</v>
      </c>
      <c r="N22" s="9">
        <v>-0.49828755441596528</v>
      </c>
      <c r="O22" s="9">
        <v>-0.52634442759911149</v>
      </c>
      <c r="P22" s="9">
        <v>-0.5517890308231933</v>
      </c>
      <c r="Q22" s="9">
        <v>-0.57496232742225517</v>
      </c>
    </row>
    <row r="23" spans="1:21" x14ac:dyDescent="0.3">
      <c r="A23" t="s">
        <v>102</v>
      </c>
      <c r="B23" s="10">
        <f>B24+B26*(B25-B24)</f>
        <v>0.14119999999999999</v>
      </c>
      <c r="H23" s="9">
        <f t="shared" si="3"/>
        <v>4.4999999999999998E-2</v>
      </c>
      <c r="I23" s="9">
        <v>-0.26015870884649828</v>
      </c>
      <c r="J23" s="9">
        <v>-0.31542568323460207</v>
      </c>
      <c r="K23" s="9">
        <v>-0.36373847699435424</v>
      </c>
      <c r="L23" s="9">
        <v>-0.40631599448226929</v>
      </c>
      <c r="M23" s="9">
        <v>-0.44410845596250226</v>
      </c>
      <c r="N23" s="9">
        <v>-0.47786754889166116</v>
      </c>
      <c r="O23" s="9">
        <v>-0.50819569137871734</v>
      </c>
      <c r="P23" s="9">
        <v>-0.53558132074320453</v>
      </c>
      <c r="Q23" s="9">
        <v>-0.5604246234342245</v>
      </c>
    </row>
    <row r="24" spans="1:21" x14ac:dyDescent="0.3">
      <c r="A24" t="s">
        <v>103</v>
      </c>
      <c r="B24" s="10">
        <v>6.7000000000000004E-2</v>
      </c>
      <c r="H24" s="9">
        <f t="shared" si="3"/>
        <v>4.9999999999999996E-2</v>
      </c>
      <c r="I24" s="9">
        <v>-0.21399120995389431</v>
      </c>
      <c r="J24" s="9">
        <v>-0.27609024938564453</v>
      </c>
      <c r="K24" s="9">
        <v>-0.3299068401349976</v>
      </c>
      <c r="L24" s="9">
        <v>-0.37697665743391806</v>
      </c>
      <c r="M24" s="9">
        <v>-0.41847832771969984</v>
      </c>
      <c r="N24" s="9">
        <v>-0.45533148061872442</v>
      </c>
      <c r="O24" s="9">
        <v>-0.4882641716396201</v>
      </c>
      <c r="P24" s="9">
        <v>-0.51786028572577492</v>
      </c>
      <c r="Q24" s="9">
        <v>-0.54459352941167127</v>
      </c>
    </row>
    <row r="25" spans="1:21" x14ac:dyDescent="0.3">
      <c r="A25" t="s">
        <v>104</v>
      </c>
      <c r="B25" s="10">
        <v>0.12</v>
      </c>
      <c r="H25" s="9">
        <f t="shared" si="3"/>
        <v>5.4999999999999993E-2</v>
      </c>
      <c r="I25" s="9">
        <v>-0.16072101892396684</v>
      </c>
      <c r="J25" s="9">
        <v>-0.23115944799060484</v>
      </c>
      <c r="K25" s="9">
        <v>-0.29160011903498539</v>
      </c>
      <c r="L25" s="9">
        <v>-0.34401070270344736</v>
      </c>
      <c r="M25" s="9">
        <v>-0.38987486673411298</v>
      </c>
      <c r="N25" s="9">
        <v>-0.43033245406459242</v>
      </c>
      <c r="O25" s="9">
        <v>-0.46627361060516193</v>
      </c>
      <c r="P25" s="9">
        <v>-0.49840359595639327</v>
      </c>
      <c r="Q25" s="9">
        <v>-0.52728840428832191</v>
      </c>
    </row>
    <row r="26" spans="1:21" x14ac:dyDescent="0.3">
      <c r="A26" t="s">
        <v>105</v>
      </c>
      <c r="B26" s="2">
        <v>1.4</v>
      </c>
      <c r="D26">
        <v>1.4</v>
      </c>
      <c r="E26">
        <v>1.2</v>
      </c>
      <c r="F26">
        <v>1</v>
      </c>
      <c r="H26" s="30">
        <f t="shared" si="3"/>
        <v>5.9999999999999991E-2</v>
      </c>
      <c r="I26" s="30">
        <v>-9.8572462722384624E-2</v>
      </c>
      <c r="J26" s="9">
        <v>-0.17934797256875956</v>
      </c>
      <c r="K26" s="9">
        <v>-0.24786751675933383</v>
      </c>
      <c r="L26" s="9">
        <v>-0.30670140742877749</v>
      </c>
      <c r="M26" s="9">
        <v>-0.35774881203108932</v>
      </c>
      <c r="N26" s="9">
        <v>-0.4024433666371503</v>
      </c>
      <c r="O26" s="9">
        <v>-0.44188756361923742</v>
      </c>
      <c r="P26" s="9">
        <v>-0.47694312763197766</v>
      </c>
      <c r="Q26" s="9">
        <v>-0.50829332553964535</v>
      </c>
    </row>
    <row r="28" spans="1:21" x14ac:dyDescent="0.3">
      <c r="H28" s="10">
        <f>B18</f>
        <v>-0.46720596283743854</v>
      </c>
      <c r="I28" s="18">
        <v>0.02</v>
      </c>
      <c r="J28" s="38">
        <f>I28+0.5%</f>
        <v>2.5000000000000001E-2</v>
      </c>
      <c r="K28" s="38">
        <f t="shared" ref="K28:U28" si="4">J28+0.5%</f>
        <v>3.0000000000000002E-2</v>
      </c>
      <c r="L28" s="38">
        <f t="shared" si="4"/>
        <v>3.5000000000000003E-2</v>
      </c>
      <c r="M28" s="38">
        <f t="shared" si="4"/>
        <v>0.04</v>
      </c>
      <c r="N28" s="38">
        <f t="shared" si="4"/>
        <v>4.4999999999999998E-2</v>
      </c>
      <c r="O28" s="38">
        <f t="shared" si="4"/>
        <v>4.9999999999999996E-2</v>
      </c>
      <c r="P28" s="38">
        <f t="shared" si="4"/>
        <v>5.4999999999999993E-2</v>
      </c>
      <c r="Q28" s="38">
        <f t="shared" si="4"/>
        <v>5.9999999999999991E-2</v>
      </c>
      <c r="R28" s="38">
        <f t="shared" si="4"/>
        <v>6.4999999999999988E-2</v>
      </c>
      <c r="S28" s="38">
        <f t="shared" si="4"/>
        <v>6.9999999999999993E-2</v>
      </c>
      <c r="T28" s="38">
        <f t="shared" si="4"/>
        <v>7.4999999999999997E-2</v>
      </c>
      <c r="U28" s="38">
        <f t="shared" si="4"/>
        <v>0.08</v>
      </c>
    </row>
    <row r="29" spans="1:21" x14ac:dyDescent="0.3">
      <c r="H29" s="3">
        <v>1</v>
      </c>
      <c r="I29" s="21">
        <f t="dataTable" ref="I29:U46" dt2D="1" dtr="1" r1="B22" r2="B26" ca="1"/>
        <v>-0.42174495497061215</v>
      </c>
      <c r="J29" s="21">
        <v>-0.39623133716154146</v>
      </c>
      <c r="K29" s="21">
        <v>-0.36788287292924082</v>
      </c>
      <c r="L29" s="21">
        <v>-0.33619929525784586</v>
      </c>
      <c r="M29" s="21">
        <v>-0.30055527037752672</v>
      </c>
      <c r="N29" s="21">
        <v>-0.26015870884649828</v>
      </c>
      <c r="O29" s="21">
        <v>-0.21399120995389431</v>
      </c>
      <c r="P29" s="21">
        <v>-0.16072101892396684</v>
      </c>
      <c r="Q29" s="21">
        <v>-9.8572462722384624E-2</v>
      </c>
      <c r="R29" s="21">
        <v>-2.5124169029605459E-2</v>
      </c>
      <c r="S29" s="21">
        <v>6.3013783401729473E-2</v>
      </c>
      <c r="T29" s="21">
        <v>0.17073794748447191</v>
      </c>
      <c r="U29" s="21">
        <v>0.30539315258790012</v>
      </c>
    </row>
    <row r="30" spans="1:21" x14ac:dyDescent="0.3">
      <c r="H30" s="6">
        <f>H29+0.1</f>
        <v>1.1000000000000001</v>
      </c>
      <c r="I30" s="21">
        <v>-0.4560694709281683</v>
      </c>
      <c r="J30" s="21">
        <v>-0.43354963812299696</v>
      </c>
      <c r="K30" s="21">
        <v>-0.40866675885348469</v>
      </c>
      <c r="L30" s="21">
        <v>-0.38102830048435843</v>
      </c>
      <c r="M30" s="21">
        <v>-0.35014969459247436</v>
      </c>
      <c r="N30" s="21">
        <v>-0.31542568323460207</v>
      </c>
      <c r="O30" s="21">
        <v>-0.27609024938564453</v>
      </c>
      <c r="P30" s="21">
        <v>-0.23115944799060484</v>
      </c>
      <c r="Q30" s="21">
        <v>-0.17934797256875956</v>
      </c>
      <c r="R30" s="21">
        <v>-0.11894421266568</v>
      </c>
      <c r="S30" s="21">
        <v>-4.7617530537811481E-2</v>
      </c>
      <c r="T30" s="21">
        <v>3.7889406486253163E-2</v>
      </c>
      <c r="U30" s="21">
        <v>0.14227204704763929</v>
      </c>
    </row>
    <row r="31" spans="1:21" x14ac:dyDescent="0.3">
      <c r="H31" s="6">
        <f t="shared" ref="H31:H46" si="5">H30+0.1</f>
        <v>1.2000000000000002</v>
      </c>
      <c r="I31" s="21">
        <v>-0.48701288616542782</v>
      </c>
      <c r="J31" s="21">
        <v>-0.46702748952708717</v>
      </c>
      <c r="K31" s="21">
        <v>-0.44505547294457726</v>
      </c>
      <c r="L31" s="21">
        <v>-0.4207851282676629</v>
      </c>
      <c r="M31" s="21">
        <v>-0.39383593759991875</v>
      </c>
      <c r="N31" s="21">
        <v>-0.36373847699435424</v>
      </c>
      <c r="O31" s="21">
        <v>-0.3299068401349976</v>
      </c>
      <c r="P31" s="21">
        <v>-0.29160011903498539</v>
      </c>
      <c r="Q31" s="21">
        <v>-0.24786751675933383</v>
      </c>
      <c r="R31" s="21">
        <v>-0.19746835925873552</v>
      </c>
      <c r="S31" s="21">
        <v>-0.13875250910127279</v>
      </c>
      <c r="T31" s="21">
        <v>-6.9476254239230428E-2</v>
      </c>
      <c r="U31" s="21">
        <v>1.3490960081713688E-2</v>
      </c>
    </row>
    <row r="32" spans="1:21" x14ac:dyDescent="0.3">
      <c r="H32" s="6">
        <f t="shared" si="5"/>
        <v>1.3000000000000003</v>
      </c>
      <c r="I32" s="21">
        <v>-0.51504114773737431</v>
      </c>
      <c r="J32" s="21">
        <v>-0.49721767356083857</v>
      </c>
      <c r="K32" s="21">
        <v>-0.47771115177556489</v>
      </c>
      <c r="L32" s="21">
        <v>-0.45627137708788534</v>
      </c>
      <c r="M32" s="21">
        <v>-0.43259596374664167</v>
      </c>
      <c r="N32" s="21">
        <v>-0.40631599448226929</v>
      </c>
      <c r="O32" s="21">
        <v>-0.37697665743391806</v>
      </c>
      <c r="P32" s="21">
        <v>-0.34401070270344736</v>
      </c>
      <c r="Q32" s="21">
        <v>-0.30670140742877749</v>
      </c>
      <c r="R32" s="21">
        <v>-0.26412987022538115</v>
      </c>
      <c r="S32" s="21">
        <v>-0.21509831220204634</v>
      </c>
      <c r="T32" s="21">
        <v>-0.15801559522578268</v>
      </c>
      <c r="U32" s="21">
        <v>-9.0721300972906427E-2</v>
      </c>
    </row>
    <row r="33" spans="8:21" x14ac:dyDescent="0.3">
      <c r="H33" s="6">
        <f t="shared" si="5"/>
        <v>1.4000000000000004</v>
      </c>
      <c r="I33" s="21">
        <v>-0.54053864143047137</v>
      </c>
      <c r="J33" s="21">
        <v>-0.52457205994679046</v>
      </c>
      <c r="K33" s="21">
        <v>-0.50716963480450516</v>
      </c>
      <c r="L33" s="21">
        <v>-0.4881285632269764</v>
      </c>
      <c r="M33" s="21">
        <v>-0.46720596283743854</v>
      </c>
      <c r="N33" s="21">
        <v>-0.44410845596250226</v>
      </c>
      <c r="O33" s="21">
        <v>-0.41847832771969984</v>
      </c>
      <c r="P33" s="21">
        <v>-0.38987486673411298</v>
      </c>
      <c r="Q33" s="21">
        <v>-0.35774881203108932</v>
      </c>
      <c r="R33" s="21">
        <v>-0.32140673965050348</v>
      </c>
      <c r="S33" s="21">
        <v>-0.27996044362095918</v>
      </c>
      <c r="T33" s="21">
        <v>-0.23225337779843203</v>
      </c>
      <c r="U33" s="21">
        <v>-0.17675103978268158</v>
      </c>
    </row>
    <row r="34" spans="8:21" x14ac:dyDescent="0.3">
      <c r="H34" s="6">
        <f t="shared" si="5"/>
        <v>1.5000000000000004</v>
      </c>
      <c r="I34" s="21">
        <v>-0.56382527965602458</v>
      </c>
      <c r="J34" s="21">
        <v>-0.54946361764354246</v>
      </c>
      <c r="K34" s="21">
        <v>-0.53386919494329355</v>
      </c>
      <c r="L34" s="21">
        <v>-0.51687616931028701</v>
      </c>
      <c r="M34" s="21">
        <v>-0.49828755441596528</v>
      </c>
      <c r="N34" s="21">
        <v>-0.47786754889166116</v>
      </c>
      <c r="O34" s="21">
        <v>-0.45533148061872442</v>
      </c>
      <c r="P34" s="21">
        <v>-0.43033245406459242</v>
      </c>
      <c r="Q34" s="21">
        <v>-0.4024433666371503</v>
      </c>
      <c r="R34" s="21">
        <v>-0.37113230529223085</v>
      </c>
      <c r="S34" s="21">
        <v>-0.33572829475189692</v>
      </c>
      <c r="T34" s="21">
        <v>-0.29537267434578196</v>
      </c>
      <c r="U34" s="21">
        <v>-0.24894853959288288</v>
      </c>
    </row>
    <row r="35" spans="8:21" x14ac:dyDescent="0.3">
      <c r="H35" s="6">
        <f t="shared" si="5"/>
        <v>1.6000000000000005</v>
      </c>
      <c r="I35" s="21">
        <v>-0.58516946639541223</v>
      </c>
      <c r="J35" s="21">
        <v>-0.57220290618755265</v>
      </c>
      <c r="K35" s="21">
        <v>-0.55817176796591128</v>
      </c>
      <c r="L35" s="21">
        <v>-0.5429393336636501</v>
      </c>
      <c r="M35" s="21">
        <v>-0.52634442759911149</v>
      </c>
      <c r="N35" s="21">
        <v>-0.50819569137871734</v>
      </c>
      <c r="O35" s="21">
        <v>-0.4882641716396201</v>
      </c>
      <c r="P35" s="21">
        <v>-0.46627361060516193</v>
      </c>
      <c r="Q35" s="21">
        <v>-0.44188756361923742</v>
      </c>
      <c r="R35" s="21">
        <v>-0.41469206421557991</v>
      </c>
      <c r="S35" s="21">
        <v>-0.38417193163299101</v>
      </c>
      <c r="T35" s="21">
        <v>-0.34967782345371101</v>
      </c>
      <c r="U35" s="21">
        <v>-0.31037952193469831</v>
      </c>
    </row>
    <row r="36" spans="8:21" x14ac:dyDescent="0.3">
      <c r="H36" s="6">
        <f t="shared" si="5"/>
        <v>1.7000000000000006</v>
      </c>
      <c r="I36" s="21">
        <v>-0.60479805489224558</v>
      </c>
      <c r="J36" s="21">
        <v>-0.5930505970601373</v>
      </c>
      <c r="K36" s="21">
        <v>-0.58037887031912982</v>
      </c>
      <c r="L36" s="21">
        <v>-0.56666932812021842</v>
      </c>
      <c r="M36" s="21">
        <v>-0.5517890308231933</v>
      </c>
      <c r="N36" s="21">
        <v>-0.53558132074320453</v>
      </c>
      <c r="O36" s="21">
        <v>-0.51786028572577492</v>
      </c>
      <c r="P36" s="21">
        <v>-0.49840359595639327</v>
      </c>
      <c r="Q36" s="21">
        <v>-0.47694312763197766</v>
      </c>
      <c r="R36" s="21">
        <v>-0.45315253245366227</v>
      </c>
      <c r="S36" s="21">
        <v>-0.42663052565900761</v>
      </c>
      <c r="T36" s="21">
        <v>-0.39687806736683118</v>
      </c>
      <c r="U36" s="21">
        <v>-0.3632666650678873</v>
      </c>
    </row>
    <row r="37" spans="8:21" x14ac:dyDescent="0.3">
      <c r="H37" s="6">
        <f t="shared" si="5"/>
        <v>1.8000000000000007</v>
      </c>
      <c r="I37" s="21">
        <v>-0.62290408158503086</v>
      </c>
      <c r="J37" s="21">
        <v>-0.61222709703349554</v>
      </c>
      <c r="K37" s="21">
        <v>-0.6007436937091859</v>
      </c>
      <c r="L37" s="21">
        <v>-0.58835892434686121</v>
      </c>
      <c r="M37" s="21">
        <v>-0.57496232742225517</v>
      </c>
      <c r="N37" s="21">
        <v>-0.5604246234342245</v>
      </c>
      <c r="O37" s="21">
        <v>-0.54459352941167127</v>
      </c>
      <c r="P37" s="21">
        <v>-0.52728840428832191</v>
      </c>
      <c r="Q37" s="21">
        <v>-0.50829332553964535</v>
      </c>
      <c r="R37" s="21">
        <v>-0.4873480333670801</v>
      </c>
      <c r="S37" s="21">
        <v>-0.46413593468233239</v>
      </c>
      <c r="T37" s="21">
        <v>-0.43826798946614909</v>
      </c>
      <c r="U37" s="21">
        <v>-0.40926073051013767</v>
      </c>
    </row>
    <row r="38" spans="8:21" x14ac:dyDescent="0.3">
      <c r="H38" s="6">
        <f t="shared" si="5"/>
        <v>1.9000000000000008</v>
      </c>
      <c r="I38" s="21">
        <v>-0.6396528348575623</v>
      </c>
      <c r="J38" s="21">
        <v>-0.62992002694321081</v>
      </c>
      <c r="K38" s="21">
        <v>-0.61948040654415704</v>
      </c>
      <c r="L38" s="21">
        <v>-0.60825407775029894</v>
      </c>
      <c r="M38" s="21">
        <v>-0.59614863158808828</v>
      </c>
      <c r="N38" s="21">
        <v>-0.58305659649660235</v>
      </c>
      <c r="O38" s="21">
        <v>-0.56885223896743697</v>
      </c>
      <c r="P38" s="21">
        <v>-0.55338751253595009</v>
      </c>
      <c r="Q38" s="21">
        <v>-0.53648687835780684</v>
      </c>
      <c r="R38" s="21">
        <v>-0.51794061280886106</v>
      </c>
      <c r="S38" s="21">
        <v>-0.49749606010035052</v>
      </c>
      <c r="T38" s="21">
        <v>-0.47484605402522639</v>
      </c>
      <c r="U38" s="21">
        <v>-0.44961337907038423</v>
      </c>
    </row>
    <row r="39" spans="8:21" x14ac:dyDescent="0.3">
      <c r="H39" s="6">
        <f t="shared" si="5"/>
        <v>2.0000000000000009</v>
      </c>
      <c r="I39" s="21">
        <v>-0.65518666238888679</v>
      </c>
      <c r="J39" s="21">
        <v>-0.64629009348203859</v>
      </c>
      <c r="K39" s="21">
        <v>-0.63677138688939694</v>
      </c>
      <c r="L39" s="21">
        <v>-0.62656291894946237</v>
      </c>
      <c r="M39" s="21">
        <v>-0.61558689702908154</v>
      </c>
      <c r="N39" s="21">
        <v>-0.60375337339617108</v>
      </c>
      <c r="O39" s="21">
        <v>-0.59095777467115407</v>
      </c>
      <c r="P39" s="21">
        <v>-0.57707780317283042</v>
      </c>
      <c r="Q39" s="21">
        <v>-0.56196951561270825</v>
      </c>
      <c r="R39" s="21">
        <v>-0.54546231253776001</v>
      </c>
      <c r="S39" s="21">
        <v>-0.52735246838757399</v>
      </c>
      <c r="T39" s="21">
        <v>-0.50739468095675688</v>
      </c>
      <c r="U39" s="21">
        <v>-0.48529089487746457</v>
      </c>
    </row>
    <row r="40" spans="8:21" x14ac:dyDescent="0.3">
      <c r="H40" s="6">
        <f t="shared" si="5"/>
        <v>2.100000000000001</v>
      </c>
      <c r="I40" s="21">
        <v>-0.66962881273327324</v>
      </c>
      <c r="J40" s="21">
        <v>-0.66147574292070277</v>
      </c>
      <c r="K40" s="21">
        <v>-0.65277290440870073</v>
      </c>
      <c r="L40" s="21">
        <v>-0.64346274988050889</v>
      </c>
      <c r="M40" s="21">
        <v>-0.63347940992005425</v>
      </c>
      <c r="N40" s="21">
        <v>-0.62274713222813272</v>
      </c>
      <c r="O40" s="21">
        <v>-0.61117835588524305</v>
      </c>
      <c r="P40" s="21">
        <v>-0.59867131706523335</v>
      </c>
      <c r="Q40" s="21">
        <v>-0.5851070475757385</v>
      </c>
      <c r="R40" s="21">
        <v>-0.57034557866086888</v>
      </c>
      <c r="S40" s="21">
        <v>-0.55422109322569746</v>
      </c>
      <c r="T40" s="21">
        <v>-0.53653567018789572</v>
      </c>
      <c r="U40" s="21">
        <v>-0.51705111967931039</v>
      </c>
    </row>
    <row r="41" spans="8:21" x14ac:dyDescent="0.3">
      <c r="H41" s="6">
        <f t="shared" si="5"/>
        <v>2.2000000000000011</v>
      </c>
      <c r="I41" s="21">
        <v>-0.68308653014238296</v>
      </c>
      <c r="J41" s="21">
        <v>-0.67559688169158183</v>
      </c>
      <c r="K41" s="21">
        <v>-0.66761962591976487</v>
      </c>
      <c r="L41" s="21">
        <v>-0.65910554270704513</v>
      </c>
      <c r="M41" s="21">
        <v>-0.64999855676363461</v>
      </c>
      <c r="N41" s="21">
        <v>-0.64023450112733726</v>
      </c>
      <c r="O41" s="21">
        <v>-0.62973960300329312</v>
      </c>
      <c r="P41" s="21">
        <v>-0.61842861637815694</v>
      </c>
      <c r="Q41" s="21">
        <v>-0.60620250138529119</v>
      </c>
      <c r="R41" s="21">
        <v>-0.59294551666284157</v>
      </c>
      <c r="S41" s="21">
        <v>-0.57852154384862708</v>
      </c>
      <c r="T41" s="21">
        <v>-0.56276939674212756</v>
      </c>
      <c r="U41" s="21">
        <v>-0.54549677211569558</v>
      </c>
    </row>
    <row r="42" spans="8:21" x14ac:dyDescent="0.3">
      <c r="H42" s="6">
        <f t="shared" si="5"/>
        <v>2.3000000000000012</v>
      </c>
      <c r="I42" s="21">
        <v>-0.69565356666175604</v>
      </c>
      <c r="J42" s="21">
        <v>-0.68875787505976682</v>
      </c>
      <c r="K42" s="21">
        <v>-0.68142821922857744</v>
      </c>
      <c r="L42" s="21">
        <v>-0.67362230245968902</v>
      </c>
      <c r="M42" s="21">
        <v>-0.66529214682116411</v>
      </c>
      <c r="N42" s="21">
        <v>-0.65638310614869022</v>
      </c>
      <c r="O42" s="21">
        <v>-0.6468326658597674</v>
      </c>
      <c r="P42" s="21">
        <v>-0.63656897386890887</v>
      </c>
      <c r="Q42" s="21">
        <v>-0.62550902959016341</v>
      </c>
      <c r="R42" s="21">
        <v>-0.61355643444146302</v>
      </c>
      <c r="S42" s="21">
        <v>-0.60059857477226608</v>
      </c>
      <c r="T42" s="21">
        <v>-0.58650306280551034</v>
      </c>
      <c r="U42" s="21">
        <v>-0.57111319712279895</v>
      </c>
    </row>
    <row r="43" spans="8:21" x14ac:dyDescent="0.3">
      <c r="H43" s="6">
        <f t="shared" si="5"/>
        <v>2.4000000000000012</v>
      </c>
      <c r="I43" s="21">
        <v>-0.7074122356084992</v>
      </c>
      <c r="J43" s="21">
        <v>-0.70104998217493364</v>
      </c>
      <c r="K43" s="21">
        <v>-0.69430025898292924</v>
      </c>
      <c r="L43" s="21">
        <v>-0.68712655820348756</v>
      </c>
      <c r="M43" s="21">
        <v>-0.67948763688063174</v>
      </c>
      <c r="N43" s="21">
        <v>-0.67133672351200824</v>
      </c>
      <c r="O43" s="21">
        <v>-0.66262055956303645</v>
      </c>
      <c r="P43" s="21">
        <v>-0.65327823441083388</v>
      </c>
      <c r="Q43" s="21">
        <v>-0.64323975984341497</v>
      </c>
      <c r="R43" s="21">
        <v>-0.63242431356025142</v>
      </c>
      <c r="S43" s="21">
        <v>-0.62073805839760643</v>
      </c>
      <c r="T43" s="21">
        <v>-0.60807141270118237</v>
      </c>
      <c r="U43" s="21">
        <v>-0.59429560363379275</v>
      </c>
    </row>
    <row r="44" spans="8:21" x14ac:dyDescent="0.3">
      <c r="H44" s="6">
        <f t="shared" si="5"/>
        <v>2.5000000000000013</v>
      </c>
      <c r="I44" s="21">
        <v>-0.71843510122149157</v>
      </c>
      <c r="J44" s="21">
        <v>-0.71255334733526854</v>
      </c>
      <c r="K44" s="21">
        <v>-0.70632458732006476</v>
      </c>
      <c r="L44" s="21">
        <v>-0.6997171792796204</v>
      </c>
      <c r="M44" s="21">
        <v>-0.69269551368178173</v>
      </c>
      <c r="N44" s="21">
        <v>-0.6852193713462188</v>
      </c>
      <c r="O44" s="21">
        <v>-0.67724315260025025</v>
      </c>
      <c r="P44" s="21">
        <v>-0.66871494639781326</v>
      </c>
      <c r="Q44" s="21">
        <v>-0.65957539924896513</v>
      </c>
      <c r="R44" s="21">
        <v>-0.64975633186600179</v>
      </c>
      <c r="S44" s="21">
        <v>-0.639179035341497</v>
      </c>
      <c r="T44" s="21">
        <v>-0.62775215676683116</v>
      </c>
      <c r="U44" s="21">
        <v>-0.6153690540436576</v>
      </c>
    </row>
    <row r="45" spans="8:21" x14ac:dyDescent="0.3">
      <c r="H45" s="6">
        <f t="shared" si="5"/>
        <v>2.6000000000000014</v>
      </c>
      <c r="I45" s="21">
        <v>-0.72878637752668318</v>
      </c>
      <c r="J45" s="21">
        <v>-0.72333863903628981</v>
      </c>
      <c r="K45" s="21">
        <v>-0.71757924502585091</v>
      </c>
      <c r="L45" s="21">
        <v>-0.71148066408900235</v>
      </c>
      <c r="M45" s="21">
        <v>-0.70501202362928661</v>
      </c>
      <c r="N45" s="21">
        <v>-0.69813858714580901</v>
      </c>
      <c r="O45" s="21">
        <v>-0.69082113021766234</v>
      </c>
      <c r="P45" s="21">
        <v>-0.68301519151861145</v>
      </c>
      <c r="Q45" s="21">
        <v>-0.67467016865526142</v>
      </c>
      <c r="R45" s="21">
        <v>-0.66572821997908216</v>
      </c>
      <c r="S45" s="21">
        <v>-0.65612292199458122</v>
      </c>
      <c r="T45" s="21">
        <v>-0.64577761646119725</v>
      </c>
      <c r="U45" s="21">
        <v>-0.63460336016392016</v>
      </c>
    </row>
    <row r="46" spans="8:21" x14ac:dyDescent="0.3">
      <c r="H46" s="6">
        <f t="shared" si="5"/>
        <v>2.7000000000000015</v>
      </c>
      <c r="I46" s="21">
        <v>-0.73852309316855691</v>
      </c>
      <c r="J46" s="21">
        <v>-0.73346840740118968</v>
      </c>
      <c r="K46" s="21">
        <v>-0.72813306168005432</v>
      </c>
      <c r="L46" s="21">
        <v>-0.7224930131764441</v>
      </c>
      <c r="M46" s="21">
        <v>-0.7165213921564545</v>
      </c>
      <c r="N46" s="21">
        <v>-0.71018807392144456</v>
      </c>
      <c r="O46" s="21">
        <v>-0.70345917053746443</v>
      </c>
      <c r="P46" s="21">
        <v>-0.69629642425316329</v>
      </c>
      <c r="Q46" s="21">
        <v>-0.68865647968209975</v>
      </c>
      <c r="R46" s="21">
        <v>-0.68049000550586325</v>
      </c>
      <c r="S46" s="21">
        <v>-0.67174062810505575</v>
      </c>
      <c r="T46" s="21">
        <v>-0.66234362839478811</v>
      </c>
      <c r="U46" s="21">
        <v>-0.65222433816105641</v>
      </c>
    </row>
  </sheetData>
  <conditionalFormatting sqref="I29:U46">
    <cfRule type="cellIs" dxfId="0" priority="1" operator="greaterThan">
      <formula>0.15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061C-9D40-426D-90BD-1D255DADC8CC}">
  <dimension ref="A1:L27"/>
  <sheetViews>
    <sheetView tabSelected="1" zoomScale="187" workbookViewId="0">
      <selection activeCell="D6" sqref="D6"/>
    </sheetView>
  </sheetViews>
  <sheetFormatPr defaultRowHeight="14.4" x14ac:dyDescent="0.3"/>
  <cols>
    <col min="4" max="4" width="12.109375" customWidth="1"/>
    <col min="5" max="5" width="15.21875" bestFit="1" customWidth="1"/>
    <col min="12" max="12" width="14.109375" bestFit="1" customWidth="1"/>
  </cols>
  <sheetData>
    <row r="1" spans="1:12" x14ac:dyDescent="0.3">
      <c r="A1">
        <v>1</v>
      </c>
      <c r="B1" t="s">
        <v>110</v>
      </c>
    </row>
    <row r="2" spans="1:12" x14ac:dyDescent="0.3">
      <c r="B2" t="s">
        <v>111</v>
      </c>
      <c r="L2" s="4"/>
    </row>
    <row r="3" spans="1:12" x14ac:dyDescent="0.3">
      <c r="B3" t="s">
        <v>112</v>
      </c>
    </row>
    <row r="4" spans="1:12" x14ac:dyDescent="0.3">
      <c r="B4" t="s">
        <v>113</v>
      </c>
    </row>
    <row r="5" spans="1:12" x14ac:dyDescent="0.3">
      <c r="B5" t="s">
        <v>114</v>
      </c>
    </row>
    <row r="6" spans="1:12" x14ac:dyDescent="0.3">
      <c r="A6">
        <v>2</v>
      </c>
      <c r="B6" t="s">
        <v>122</v>
      </c>
    </row>
    <row r="7" spans="1:12" x14ac:dyDescent="0.3">
      <c r="B7" t="s">
        <v>115</v>
      </c>
      <c r="I7" t="s">
        <v>180</v>
      </c>
    </row>
    <row r="8" spans="1:12" x14ac:dyDescent="0.3">
      <c r="B8" t="s">
        <v>181</v>
      </c>
    </row>
    <row r="9" spans="1:12" x14ac:dyDescent="0.3">
      <c r="B9" t="s">
        <v>182</v>
      </c>
    </row>
    <row r="10" spans="1:12" x14ac:dyDescent="0.3">
      <c r="A10">
        <v>3</v>
      </c>
      <c r="B10" t="s">
        <v>116</v>
      </c>
    </row>
    <row r="11" spans="1:12" x14ac:dyDescent="0.3">
      <c r="B11" t="s">
        <v>117</v>
      </c>
    </row>
    <row r="12" spans="1:12" x14ac:dyDescent="0.3">
      <c r="B12" t="s">
        <v>183</v>
      </c>
    </row>
    <row r="13" spans="1:12" x14ac:dyDescent="0.3">
      <c r="A13">
        <v>4</v>
      </c>
      <c r="B13" t="s">
        <v>120</v>
      </c>
    </row>
    <row r="14" spans="1:12" x14ac:dyDescent="0.3">
      <c r="B14" t="s">
        <v>121</v>
      </c>
    </row>
    <row r="15" spans="1:12" x14ac:dyDescent="0.3">
      <c r="A15">
        <v>5</v>
      </c>
      <c r="B15" t="s">
        <v>118</v>
      </c>
    </row>
    <row r="16" spans="1:12" x14ac:dyDescent="0.3">
      <c r="A16">
        <v>6</v>
      </c>
      <c r="B16" t="s">
        <v>119</v>
      </c>
    </row>
    <row r="18" spans="2:5" x14ac:dyDescent="0.3">
      <c r="C18" t="s">
        <v>126</v>
      </c>
    </row>
    <row r="19" spans="2:5" x14ac:dyDescent="0.3">
      <c r="C19" s="22" t="s">
        <v>127</v>
      </c>
      <c r="D19" s="22" t="s">
        <v>128</v>
      </c>
      <c r="E19" s="22" t="s">
        <v>129</v>
      </c>
    </row>
    <row r="20" spans="2:5" x14ac:dyDescent="0.3">
      <c r="C20" s="22" t="s">
        <v>130</v>
      </c>
      <c r="D20" s="22" t="s">
        <v>132</v>
      </c>
      <c r="E20" s="22" t="s">
        <v>133</v>
      </c>
    </row>
    <row r="21" spans="2:5" x14ac:dyDescent="0.3">
      <c r="C21" s="22" t="s">
        <v>95</v>
      </c>
      <c r="D21" s="22" t="s">
        <v>102</v>
      </c>
      <c r="E21" s="22" t="s">
        <v>98</v>
      </c>
    </row>
    <row r="22" spans="2:5" x14ac:dyDescent="0.3">
      <c r="C22" s="22" t="s">
        <v>131</v>
      </c>
      <c r="D22" s="22" t="s">
        <v>102</v>
      </c>
      <c r="E22" s="22" t="s">
        <v>134</v>
      </c>
    </row>
    <row r="24" spans="2:5" x14ac:dyDescent="0.3">
      <c r="B24" t="s">
        <v>135</v>
      </c>
    </row>
    <row r="25" spans="2:5" x14ac:dyDescent="0.3">
      <c r="B25" t="s">
        <v>136</v>
      </c>
    </row>
    <row r="26" spans="2:5" x14ac:dyDescent="0.3">
      <c r="B26" t="s">
        <v>137</v>
      </c>
    </row>
    <row r="27" spans="2:5" x14ac:dyDescent="0.3">
      <c r="B27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825D-477C-4F3B-9673-4C212560D6DB}">
  <dimension ref="A1:L11"/>
  <sheetViews>
    <sheetView zoomScale="181" workbookViewId="0">
      <selection activeCell="L2" sqref="L2"/>
    </sheetView>
  </sheetViews>
  <sheetFormatPr defaultRowHeight="14.4" x14ac:dyDescent="0.3"/>
  <sheetData>
    <row r="1" spans="1:12" x14ac:dyDescent="0.3">
      <c r="I1" s="36" t="s">
        <v>164</v>
      </c>
      <c r="J1" s="36" t="s">
        <v>165</v>
      </c>
      <c r="K1" s="36" t="s">
        <v>166</v>
      </c>
      <c r="L1" s="36" t="s">
        <v>167</v>
      </c>
    </row>
    <row r="2" spans="1:12" x14ac:dyDescent="0.3">
      <c r="C2" t="s">
        <v>152</v>
      </c>
      <c r="E2" t="s">
        <v>147</v>
      </c>
      <c r="G2" t="s">
        <v>153</v>
      </c>
    </row>
    <row r="4" spans="1:12" x14ac:dyDescent="0.3">
      <c r="E4" t="s">
        <v>148</v>
      </c>
    </row>
    <row r="5" spans="1:12" x14ac:dyDescent="0.3">
      <c r="E5" s="36" t="s">
        <v>160</v>
      </c>
      <c r="G5" s="36" t="s">
        <v>159</v>
      </c>
      <c r="I5" s="36" t="s">
        <v>158</v>
      </c>
    </row>
    <row r="6" spans="1:12" x14ac:dyDescent="0.3">
      <c r="A6" t="s">
        <v>146</v>
      </c>
      <c r="C6" t="s">
        <v>151</v>
      </c>
      <c r="G6" t="s">
        <v>156</v>
      </c>
      <c r="I6" t="s">
        <v>154</v>
      </c>
      <c r="L6" t="s">
        <v>157</v>
      </c>
    </row>
    <row r="7" spans="1:12" x14ac:dyDescent="0.3">
      <c r="C7" s="36" t="s">
        <v>163</v>
      </c>
      <c r="E7" t="s">
        <v>149</v>
      </c>
      <c r="I7" t="s">
        <v>155</v>
      </c>
    </row>
    <row r="8" spans="1:12" x14ac:dyDescent="0.3">
      <c r="E8" s="36" t="s">
        <v>161</v>
      </c>
    </row>
    <row r="10" spans="1:12" x14ac:dyDescent="0.3">
      <c r="E10" t="s">
        <v>150</v>
      </c>
    </row>
    <row r="11" spans="1:12" x14ac:dyDescent="0.3">
      <c r="E11" s="36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</vt:lpstr>
      <vt:lpstr>DAT</vt:lpstr>
      <vt:lpstr>IS</vt:lpstr>
      <vt:lpstr>BS</vt:lpstr>
      <vt:lpstr>CFS</vt:lpstr>
      <vt:lpstr>FCFE</vt:lpstr>
      <vt:lpstr>Notes</vt:lpstr>
      <vt:lpstr>CFA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</dc:creator>
  <cp:lastModifiedBy>Shraddha Solanki</cp:lastModifiedBy>
  <dcterms:created xsi:type="dcterms:W3CDTF">2025-03-21T03:33:47Z</dcterms:created>
  <dcterms:modified xsi:type="dcterms:W3CDTF">2025-05-06T05:30:38Z</dcterms:modified>
</cp:coreProperties>
</file>