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d\Downloads\"/>
    </mc:Choice>
  </mc:AlternateContent>
  <xr:revisionPtr revIDLastSave="0" documentId="13_ncr:1_{98EFEB2A-315D-4B41-9027-510A8708B0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4" r:id="rId1"/>
    <sheet name="Financials" sheetId="1" r:id="rId2"/>
    <sheet name="Operational Drivers" sheetId="2" r:id="rId3"/>
    <sheet name="Valuation" sheetId="3" r:id="rId4"/>
  </sheets>
  <definedNames>
    <definedName name="data">Financials!$C$9:$AU$232</definedName>
    <definedName name="data_column">Financials!$C$1:$AU$1</definedName>
    <definedName name="data_row">Financials!$A$9:$A$232</definedName>
    <definedName name="rCP">Valuation!$H$23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Q61" i="1"/>
  <c r="L60" i="1"/>
  <c r="C9" i="1"/>
  <c r="C40" i="1"/>
  <c r="C53" i="1"/>
  <c r="Q52" i="1"/>
  <c r="T34" i="1" l="1"/>
  <c r="U31" i="1"/>
  <c r="U32" i="1"/>
  <c r="E32" i="1"/>
  <c r="O131" i="1"/>
  <c r="M131" i="1"/>
  <c r="J131" i="1"/>
  <c r="H131" i="1"/>
  <c r="B28" i="3"/>
  <c r="B31" i="3" s="1"/>
  <c r="AA102" i="1"/>
  <c r="AF102" i="1" s="1"/>
  <c r="AK102" i="1" s="1"/>
  <c r="AA72" i="1"/>
  <c r="AF72" i="1"/>
  <c r="AK72" i="1" s="1"/>
  <c r="AP72" i="1" s="1"/>
  <c r="AU72" i="1" s="1"/>
  <c r="AA70" i="1"/>
  <c r="AF70" i="1" s="1"/>
  <c r="AK70" i="1" s="1"/>
  <c r="AU167" i="1"/>
  <c r="AF167" i="1"/>
  <c r="AK167" i="1" s="1"/>
  <c r="AA61" i="1"/>
  <c r="V182" i="1"/>
  <c r="V183" i="1" s="1"/>
  <c r="Q189" i="1"/>
  <c r="L189" i="1"/>
  <c r="G189" i="1"/>
  <c r="AU180" i="1"/>
  <c r="AP180" i="1"/>
  <c r="AK180" i="1"/>
  <c r="AF180" i="1"/>
  <c r="AA180" i="1"/>
  <c r="V180" i="1"/>
  <c r="Q180" i="1"/>
  <c r="Q192" i="1" s="1"/>
  <c r="L180" i="1"/>
  <c r="G180" i="1"/>
  <c r="AC27" i="2"/>
  <c r="AD27" i="2" s="1"/>
  <c r="AE27" i="2" s="1"/>
  <c r="AC29" i="2"/>
  <c r="AD29" i="2" s="1"/>
  <c r="AE29" i="2" s="1"/>
  <c r="AC35" i="2"/>
  <c r="AD35" i="2"/>
  <c r="AE35" i="2" s="1"/>
  <c r="AC37" i="2"/>
  <c r="AD37" i="2"/>
  <c r="AE37" i="2" s="1"/>
  <c r="AG37" i="2" s="1"/>
  <c r="AH37" i="2" s="1"/>
  <c r="AI37" i="2" s="1"/>
  <c r="AJ37" i="2" s="1"/>
  <c r="AL37" i="2" s="1"/>
  <c r="AM37" i="2" s="1"/>
  <c r="AN37" i="2" s="1"/>
  <c r="AO37" i="2" s="1"/>
  <c r="AQ37" i="2" s="1"/>
  <c r="AR37" i="2" s="1"/>
  <c r="AS37" i="2" s="1"/>
  <c r="AT37" i="2" s="1"/>
  <c r="AH35" i="2"/>
  <c r="AI35" i="2"/>
  <c r="AJ35" i="2" s="1"/>
  <c r="AH33" i="2"/>
  <c r="AI33" i="2" s="1"/>
  <c r="AJ33" i="2" s="1"/>
  <c r="AH29" i="2"/>
  <c r="AI29" i="2" s="1"/>
  <c r="AJ29" i="2" s="1"/>
  <c r="AR25" i="2"/>
  <c r="AS25" i="2" s="1"/>
  <c r="AT25" i="2" s="1"/>
  <c r="AR27" i="2"/>
  <c r="AS27" i="2" s="1"/>
  <c r="AT27" i="2" s="1"/>
  <c r="AR35" i="2"/>
  <c r="AS35" i="2" s="1"/>
  <c r="AT35" i="2" s="1"/>
  <c r="AM33" i="2"/>
  <c r="AN33" i="2"/>
  <c r="AO33" i="2" s="1"/>
  <c r="AM29" i="2"/>
  <c r="AN29" i="2"/>
  <c r="AO29" i="2" s="1"/>
  <c r="AM25" i="2"/>
  <c r="AN25" i="2"/>
  <c r="AO25" i="2" s="1"/>
  <c r="AM27" i="2"/>
  <c r="AN27" i="2" s="1"/>
  <c r="AO27" i="2" s="1"/>
  <c r="AM35" i="2"/>
  <c r="AN35" i="2" s="1"/>
  <c r="AO35" i="2" s="1"/>
  <c r="AH27" i="2"/>
  <c r="AI27" i="2" s="1"/>
  <c r="AJ27" i="2" s="1"/>
  <c r="AC33" i="2"/>
  <c r="AD33" i="2" s="1"/>
  <c r="AE33" i="2" s="1"/>
  <c r="AH25" i="2"/>
  <c r="AI25" i="2" s="1"/>
  <c r="AJ25" i="2" s="1"/>
  <c r="AC25" i="2"/>
  <c r="AD25" i="2"/>
  <c r="AE25" i="2" s="1"/>
  <c r="G44" i="4"/>
  <c r="H44" i="4"/>
  <c r="I44" i="4"/>
  <c r="J44" i="4"/>
  <c r="K44" i="4"/>
  <c r="G139" i="1"/>
  <c r="L139" i="1"/>
  <c r="Q139" i="1"/>
  <c r="AH15" i="1"/>
  <c r="AI15" i="1" s="1"/>
  <c r="AJ15" i="1" s="1"/>
  <c r="X15" i="1"/>
  <c r="Y15" i="1" s="1"/>
  <c r="Z15" i="1" s="1"/>
  <c r="X40" i="2"/>
  <c r="Y40" i="2" s="1"/>
  <c r="Z40" i="2" s="1"/>
  <c r="X37" i="2"/>
  <c r="Y37" i="2" s="1"/>
  <c r="Z37" i="2" s="1"/>
  <c r="X35" i="2"/>
  <c r="Y35" i="2" s="1"/>
  <c r="Z35" i="2" s="1"/>
  <c r="X33" i="2"/>
  <c r="Y33" i="2"/>
  <c r="Z33" i="2" s="1"/>
  <c r="X29" i="2"/>
  <c r="Y29" i="2"/>
  <c r="Z29" i="2" s="1"/>
  <c r="X27" i="2"/>
  <c r="Y27" i="2"/>
  <c r="Z27" i="2" s="1"/>
  <c r="X25" i="2"/>
  <c r="Y25" i="2" s="1"/>
  <c r="Z25" i="2" s="1"/>
  <c r="AU182" i="1"/>
  <c r="AU183" i="1" s="1"/>
  <c r="AP182" i="1"/>
  <c r="AP183" i="1" s="1"/>
  <c r="AK182" i="1"/>
  <c r="AK183" i="1"/>
  <c r="AF182" i="1"/>
  <c r="AF183" i="1" s="1"/>
  <c r="AA182" i="1"/>
  <c r="AA183" i="1" s="1"/>
  <c r="Q182" i="1"/>
  <c r="Q183" i="1" s="1"/>
  <c r="X60" i="1"/>
  <c r="AC60" i="1" s="1"/>
  <c r="AH60" i="1" s="1"/>
  <c r="AM60" i="1" s="1"/>
  <c r="AR60" i="1" s="1"/>
  <c r="Y60" i="1"/>
  <c r="AD60" i="1"/>
  <c r="AI60" i="1" s="1"/>
  <c r="AN60" i="1" s="1"/>
  <c r="AS60" i="1" s="1"/>
  <c r="W60" i="1"/>
  <c r="AB60" i="1"/>
  <c r="AG60" i="1" s="1"/>
  <c r="AL60" i="1" s="1"/>
  <c r="AQ60" i="1" s="1"/>
  <c r="F60" i="1"/>
  <c r="AA171" i="1"/>
  <c r="AF171" i="1" s="1"/>
  <c r="AK171" i="1" s="1"/>
  <c r="AP171" i="1" s="1"/>
  <c r="AU171" i="1" s="1"/>
  <c r="AA170" i="1"/>
  <c r="AF170" i="1"/>
  <c r="AK170" i="1" s="1"/>
  <c r="AA169" i="1"/>
  <c r="G17" i="3" s="1"/>
  <c r="AF169" i="1"/>
  <c r="AK169" i="1" s="1"/>
  <c r="AP169" i="1" s="1"/>
  <c r="O34" i="3"/>
  <c r="B30" i="3"/>
  <c r="F17" i="3"/>
  <c r="E17" i="3"/>
  <c r="D17" i="3"/>
  <c r="C17" i="3"/>
  <c r="G186" i="1"/>
  <c r="L186" i="1"/>
  <c r="G171" i="1"/>
  <c r="L171" i="1"/>
  <c r="L177" i="1" s="1"/>
  <c r="D29" i="4" s="1"/>
  <c r="G172" i="1"/>
  <c r="L172" i="1"/>
  <c r="Q171" i="1"/>
  <c r="Q177" i="1" s="1"/>
  <c r="E29" i="4" s="1"/>
  <c r="Q172" i="1"/>
  <c r="Q186" i="1"/>
  <c r="T22" i="1"/>
  <c r="S22" i="1"/>
  <c r="R22" i="1"/>
  <c r="P22" i="1"/>
  <c r="O22" i="1"/>
  <c r="N22" i="1"/>
  <c r="M22" i="1"/>
  <c r="K22" i="1"/>
  <c r="J22" i="1"/>
  <c r="I22" i="1"/>
  <c r="H22" i="1"/>
  <c r="C44" i="2"/>
  <c r="AR46" i="2"/>
  <c r="AM46" i="2"/>
  <c r="AH46" i="2"/>
  <c r="AC46" i="2"/>
  <c r="X46" i="2"/>
  <c r="L44" i="2"/>
  <c r="Q44" i="2"/>
  <c r="C16" i="2"/>
  <c r="C11" i="2"/>
  <c r="C9" i="2" s="1"/>
  <c r="D16" i="2"/>
  <c r="D11" i="2"/>
  <c r="D9" i="2" s="1"/>
  <c r="E16" i="2"/>
  <c r="F16" i="2"/>
  <c r="F11" i="2"/>
  <c r="E11" i="2"/>
  <c r="K18" i="2"/>
  <c r="K16" i="2" s="1"/>
  <c r="K9" i="2" s="1"/>
  <c r="K11" i="2"/>
  <c r="J18" i="2"/>
  <c r="J16" i="2"/>
  <c r="J9" i="2"/>
  <c r="J11" i="2"/>
  <c r="I18" i="2"/>
  <c r="H18" i="2"/>
  <c r="H16" i="2"/>
  <c r="I16" i="2"/>
  <c r="I11" i="2"/>
  <c r="I9" i="2" s="1"/>
  <c r="H11" i="2"/>
  <c r="O16" i="2"/>
  <c r="O9" i="2" s="1"/>
  <c r="O11" i="2"/>
  <c r="P16" i="2"/>
  <c r="P11" i="2"/>
  <c r="P9" i="2" s="1"/>
  <c r="N16" i="2"/>
  <c r="N9" i="2" s="1"/>
  <c r="N11" i="2"/>
  <c r="M16" i="2"/>
  <c r="M11" i="2"/>
  <c r="R16" i="2"/>
  <c r="R11" i="2"/>
  <c r="R9" i="2" s="1"/>
  <c r="S16" i="2"/>
  <c r="S11" i="2"/>
  <c r="S9" i="2" s="1"/>
  <c r="T16" i="2"/>
  <c r="T11" i="2"/>
  <c r="T9" i="2"/>
  <c r="E9" i="2"/>
  <c r="G177" i="1"/>
  <c r="G192" i="1"/>
  <c r="L192" i="1"/>
  <c r="U22" i="1"/>
  <c r="AD46" i="2"/>
  <c r="AE46" i="2" s="1"/>
  <c r="AF46" i="2" s="1"/>
  <c r="AI46" i="2"/>
  <c r="AJ46" i="2" s="1"/>
  <c r="AK46" i="2" s="1"/>
  <c r="AN46" i="2"/>
  <c r="AO46" i="2"/>
  <c r="AS46" i="2"/>
  <c r="AT46" i="2"/>
  <c r="Y46" i="2"/>
  <c r="F9" i="2"/>
  <c r="H9" i="2"/>
  <c r="M9" i="2"/>
  <c r="G2" i="4"/>
  <c r="G2" i="3" s="1"/>
  <c r="H2" i="4"/>
  <c r="H2" i="3" s="1"/>
  <c r="I2" i="4"/>
  <c r="I2" i="3" s="1"/>
  <c r="J2" i="4"/>
  <c r="J2" i="3" s="1"/>
  <c r="K2" i="4"/>
  <c r="K2" i="3" s="1"/>
  <c r="L2" i="3" s="1"/>
  <c r="M2" i="3" s="1"/>
  <c r="N2" i="3" s="1"/>
  <c r="O2" i="3" s="1"/>
  <c r="P2" i="3" s="1"/>
  <c r="F2" i="4"/>
  <c r="F2" i="3" s="1"/>
  <c r="E2" i="4"/>
  <c r="E2" i="3"/>
  <c r="D2" i="4"/>
  <c r="D2" i="3" s="1"/>
  <c r="C2" i="4"/>
  <c r="C2" i="3"/>
  <c r="K1" i="4"/>
  <c r="J1" i="4"/>
  <c r="I1" i="4"/>
  <c r="H1" i="4"/>
  <c r="H1" i="3" s="1"/>
  <c r="G1" i="4"/>
  <c r="G1" i="3" s="1"/>
  <c r="F1" i="4"/>
  <c r="F31" i="4" s="1"/>
  <c r="E1" i="4"/>
  <c r="E48" i="4" s="1"/>
  <c r="D1" i="4"/>
  <c r="C1" i="4"/>
  <c r="C22" i="4" s="1"/>
  <c r="T32" i="1"/>
  <c r="S32" i="1"/>
  <c r="R32" i="1"/>
  <c r="P32" i="1"/>
  <c r="O32" i="1"/>
  <c r="N32" i="1"/>
  <c r="M32" i="1"/>
  <c r="K32" i="1"/>
  <c r="J32" i="1"/>
  <c r="I32" i="1"/>
  <c r="H32" i="1"/>
  <c r="F32" i="1"/>
  <c r="U35" i="1"/>
  <c r="W35" i="1"/>
  <c r="X37" i="1"/>
  <c r="Y37" i="1" s="1"/>
  <c r="X36" i="1"/>
  <c r="X35" i="1" s="1"/>
  <c r="Y36" i="1"/>
  <c r="V37" i="1"/>
  <c r="V36" i="1"/>
  <c r="AU38" i="1"/>
  <c r="AP38" i="1"/>
  <c r="AK38" i="1"/>
  <c r="AF38" i="1"/>
  <c r="AA38" i="1"/>
  <c r="V38" i="1"/>
  <c r="X42" i="1"/>
  <c r="Y42" i="1" s="1"/>
  <c r="Z42" i="1" s="1"/>
  <c r="AB42" i="1" s="1"/>
  <c r="AC42" i="1" s="1"/>
  <c r="AD42" i="1" s="1"/>
  <c r="AE42" i="1" s="1"/>
  <c r="AG42" i="1" s="1"/>
  <c r="AH42" i="1" s="1"/>
  <c r="AI42" i="1" s="1"/>
  <c r="AJ42" i="1" s="1"/>
  <c r="AL42" i="1" s="1"/>
  <c r="AM42" i="1" s="1"/>
  <c r="AN42" i="1" s="1"/>
  <c r="AO42" i="1" s="1"/>
  <c r="AQ42" i="1" s="1"/>
  <c r="AR42" i="1" s="1"/>
  <c r="AS42" i="1" s="1"/>
  <c r="AT42" i="1" s="1"/>
  <c r="D44" i="1"/>
  <c r="E44" i="1"/>
  <c r="F44" i="1"/>
  <c r="H44" i="1"/>
  <c r="I44" i="1"/>
  <c r="J44" i="1"/>
  <c r="K44" i="1"/>
  <c r="M44" i="1"/>
  <c r="N44" i="1"/>
  <c r="O44" i="1"/>
  <c r="P44" i="1"/>
  <c r="R44" i="1"/>
  <c r="S44" i="1"/>
  <c r="T44" i="1"/>
  <c r="C44" i="1"/>
  <c r="X44" i="1"/>
  <c r="Y44" i="1" s="1"/>
  <c r="Z44" i="1" s="1"/>
  <c r="AB44" i="1" s="1"/>
  <c r="AC44" i="1" s="1"/>
  <c r="AD44" i="1" s="1"/>
  <c r="AE44" i="1" s="1"/>
  <c r="AG44" i="1" s="1"/>
  <c r="AH44" i="1" s="1"/>
  <c r="AI44" i="1" s="1"/>
  <c r="AJ44" i="1" s="1"/>
  <c r="AL44" i="1" s="1"/>
  <c r="AM44" i="1" s="1"/>
  <c r="AN44" i="1" s="1"/>
  <c r="AO44" i="1" s="1"/>
  <c r="AQ44" i="1" s="1"/>
  <c r="AR44" i="1" s="1"/>
  <c r="AS44" i="1" s="1"/>
  <c r="AT44" i="1" s="1"/>
  <c r="AT5" i="1"/>
  <c r="AS5" i="1"/>
  <c r="AR5" i="1"/>
  <c r="AQ5" i="1"/>
  <c r="AU5" i="1" s="1"/>
  <c r="AO5" i="1"/>
  <c r="AN5" i="1"/>
  <c r="AP5" i="1" s="1"/>
  <c r="AM5" i="1"/>
  <c r="AL5" i="1"/>
  <c r="AJ5" i="1"/>
  <c r="AI5" i="1"/>
  <c r="AH5" i="1"/>
  <c r="AG5" i="1"/>
  <c r="AK5" i="1" s="1"/>
  <c r="AE5" i="1"/>
  <c r="AD5" i="1"/>
  <c r="AF5" i="1" s="1"/>
  <c r="AC5" i="1"/>
  <c r="AB5" i="1"/>
  <c r="Z5" i="1"/>
  <c r="Y5" i="1"/>
  <c r="X5" i="1"/>
  <c r="W5" i="1"/>
  <c r="AA5" i="1" s="1"/>
  <c r="U5" i="1"/>
  <c r="T5" i="1"/>
  <c r="V5" i="1" s="1"/>
  <c r="S5" i="1"/>
  <c r="R5" i="1"/>
  <c r="P5" i="1"/>
  <c r="O5" i="1"/>
  <c r="N5" i="1"/>
  <c r="M5" i="1"/>
  <c r="Q5" i="1" s="1"/>
  <c r="J5" i="1"/>
  <c r="K5" i="1"/>
  <c r="I5" i="1"/>
  <c r="H5" i="1"/>
  <c r="E5" i="1"/>
  <c r="F5" i="1"/>
  <c r="D5" i="1"/>
  <c r="G31" i="1"/>
  <c r="L31" i="1"/>
  <c r="Q31" i="1"/>
  <c r="Q32" i="1" s="1"/>
  <c r="Q38" i="1"/>
  <c r="C6" i="2"/>
  <c r="D9" i="1"/>
  <c r="E9" i="1"/>
  <c r="E6" i="2" s="1"/>
  <c r="E45" i="2" s="1"/>
  <c r="F9" i="1"/>
  <c r="F6" i="2" s="1"/>
  <c r="F39" i="2" s="1"/>
  <c r="H9" i="1"/>
  <c r="I9" i="1"/>
  <c r="I6" i="2" s="1"/>
  <c r="I45" i="2" s="1"/>
  <c r="J9" i="1"/>
  <c r="J6" i="2" s="1"/>
  <c r="J39" i="2" s="1"/>
  <c r="R9" i="1"/>
  <c r="R6" i="2" s="1"/>
  <c r="S9" i="1"/>
  <c r="T9" i="1"/>
  <c r="F127" i="1"/>
  <c r="D127" i="1"/>
  <c r="G125" i="1"/>
  <c r="G124" i="1"/>
  <c r="G123" i="1"/>
  <c r="G127" i="1" s="1"/>
  <c r="G118" i="1"/>
  <c r="G117" i="1"/>
  <c r="G116" i="1" s="1"/>
  <c r="F116" i="1"/>
  <c r="F119" i="1" s="1"/>
  <c r="D116" i="1"/>
  <c r="D119" i="1"/>
  <c r="G115" i="1"/>
  <c r="C51" i="4"/>
  <c r="G114" i="1"/>
  <c r="C52" i="4"/>
  <c r="G113" i="1"/>
  <c r="L32" i="1" s="1"/>
  <c r="G110" i="1"/>
  <c r="G105" i="1" s="1"/>
  <c r="G109" i="1"/>
  <c r="G108" i="1"/>
  <c r="G107" i="1"/>
  <c r="F105" i="1"/>
  <c r="D105" i="1"/>
  <c r="D111" i="1" s="1"/>
  <c r="D121" i="1" s="1"/>
  <c r="D129" i="1" s="1"/>
  <c r="G104" i="1"/>
  <c r="G103" i="1"/>
  <c r="G101" i="1" s="1"/>
  <c r="F101" i="1"/>
  <c r="F111" i="1" s="1"/>
  <c r="D101" i="1"/>
  <c r="G100" i="1"/>
  <c r="G95" i="1"/>
  <c r="G94" i="1"/>
  <c r="G93" i="1"/>
  <c r="F92" i="1"/>
  <c r="D92" i="1"/>
  <c r="G91" i="1"/>
  <c r="G90" i="1"/>
  <c r="G89" i="1"/>
  <c r="G88" i="1"/>
  <c r="G87" i="1"/>
  <c r="G86" i="1" s="1"/>
  <c r="F86" i="1"/>
  <c r="I34" i="1" s="1"/>
  <c r="D86" i="1"/>
  <c r="E34" i="1" s="1"/>
  <c r="G85" i="1"/>
  <c r="C50" i="4" s="1"/>
  <c r="G84" i="1"/>
  <c r="G83" i="1"/>
  <c r="F82" i="1"/>
  <c r="H28" i="1" s="1"/>
  <c r="D82" i="1"/>
  <c r="G79" i="1"/>
  <c r="G78" i="1"/>
  <c r="G77" i="1"/>
  <c r="G76" i="1"/>
  <c r="G75" i="1"/>
  <c r="F73" i="1"/>
  <c r="D73" i="1"/>
  <c r="G71" i="1"/>
  <c r="G69" i="1"/>
  <c r="G68" i="1"/>
  <c r="G67" i="1"/>
  <c r="G66" i="1"/>
  <c r="G65" i="1" s="1"/>
  <c r="F65" i="1"/>
  <c r="D65" i="1"/>
  <c r="G60" i="1"/>
  <c r="G54" i="1"/>
  <c r="G53" i="1" s="1"/>
  <c r="F53" i="1"/>
  <c r="E53" i="1"/>
  <c r="D53" i="1"/>
  <c r="G52" i="1"/>
  <c r="G47" i="1"/>
  <c r="G137" i="1"/>
  <c r="G43" i="1"/>
  <c r="G41" i="1"/>
  <c r="F40" i="1"/>
  <c r="E40" i="1"/>
  <c r="D40" i="1"/>
  <c r="G38" i="1"/>
  <c r="G37" i="1"/>
  <c r="G36" i="1"/>
  <c r="F35" i="1"/>
  <c r="E35" i="1"/>
  <c r="D35" i="1"/>
  <c r="C35" i="1"/>
  <c r="G33" i="1"/>
  <c r="G27" i="1"/>
  <c r="G23" i="1"/>
  <c r="G21" i="1"/>
  <c r="G18" i="1"/>
  <c r="G17" i="1"/>
  <c r="G16" i="1"/>
  <c r="G14" i="1" s="1"/>
  <c r="F14" i="1"/>
  <c r="E14" i="1"/>
  <c r="D14" i="1"/>
  <c r="D15" i="1" s="1"/>
  <c r="C14" i="1"/>
  <c r="G13" i="1"/>
  <c r="G12" i="1"/>
  <c r="G11" i="1"/>
  <c r="L38" i="1"/>
  <c r="I117" i="1"/>
  <c r="I116" i="1"/>
  <c r="I119" i="1" s="1"/>
  <c r="L125" i="1"/>
  <c r="L124" i="1"/>
  <c r="L123" i="1"/>
  <c r="L118" i="1"/>
  <c r="L117" i="1"/>
  <c r="L116" i="1" s="1"/>
  <c r="L115" i="1"/>
  <c r="D51" i="4" s="1"/>
  <c r="L114" i="1"/>
  <c r="D52" i="4" s="1"/>
  <c r="L113" i="1"/>
  <c r="L110" i="1"/>
  <c r="L109" i="1"/>
  <c r="L108" i="1"/>
  <c r="L107" i="1"/>
  <c r="L105" i="1" s="1"/>
  <c r="L104" i="1"/>
  <c r="L103" i="1"/>
  <c r="L100" i="1"/>
  <c r="L95" i="1"/>
  <c r="L94" i="1"/>
  <c r="L93" i="1"/>
  <c r="L92" i="1" s="1"/>
  <c r="L91" i="1"/>
  <c r="L90" i="1"/>
  <c r="L89" i="1"/>
  <c r="L86" i="1" s="1"/>
  <c r="L88" i="1"/>
  <c r="L87" i="1"/>
  <c r="L85" i="1"/>
  <c r="D50" i="4" s="1"/>
  <c r="L84" i="1"/>
  <c r="L83" i="1"/>
  <c r="L79" i="1"/>
  <c r="L78" i="1"/>
  <c r="L73" i="1" s="1"/>
  <c r="L77" i="1"/>
  <c r="L76" i="1"/>
  <c r="L75" i="1"/>
  <c r="L71" i="1"/>
  <c r="L69" i="1"/>
  <c r="L68" i="1"/>
  <c r="L67" i="1"/>
  <c r="L66" i="1"/>
  <c r="Q125" i="1"/>
  <c r="H28" i="3"/>
  <c r="O30" i="3" s="1"/>
  <c r="Q124" i="1"/>
  <c r="Q123" i="1"/>
  <c r="E22" i="4" s="1"/>
  <c r="V123" i="1"/>
  <c r="AA123" i="1" s="1"/>
  <c r="AF123" i="1" s="1"/>
  <c r="Q118" i="1"/>
  <c r="Q117" i="1"/>
  <c r="Q115" i="1"/>
  <c r="V115" i="1" s="1"/>
  <c r="E51" i="4"/>
  <c r="Q114" i="1"/>
  <c r="E52" i="4"/>
  <c r="Q113" i="1"/>
  <c r="V113" i="1" s="1"/>
  <c r="Q110" i="1"/>
  <c r="Q109" i="1"/>
  <c r="Q108" i="1"/>
  <c r="Q107" i="1"/>
  <c r="Q104" i="1"/>
  <c r="Q103" i="1"/>
  <c r="Q100" i="1"/>
  <c r="V100" i="1" s="1"/>
  <c r="Q95" i="1"/>
  <c r="Q94" i="1"/>
  <c r="Q93" i="1"/>
  <c r="Q92" i="1" s="1"/>
  <c r="V92" i="1" s="1"/>
  <c r="Q91" i="1"/>
  <c r="V91" i="1" s="1"/>
  <c r="AA91" i="1" s="1"/>
  <c r="AF91" i="1" s="1"/>
  <c r="AK91" i="1" s="1"/>
  <c r="AP91" i="1" s="1"/>
  <c r="AU91" i="1" s="1"/>
  <c r="Q90" i="1"/>
  <c r="V90" i="1" s="1"/>
  <c r="AA90" i="1" s="1"/>
  <c r="AF90" i="1" s="1"/>
  <c r="AK90" i="1" s="1"/>
  <c r="AP90" i="1" s="1"/>
  <c r="AU90" i="1" s="1"/>
  <c r="Q89" i="1"/>
  <c r="Q88" i="1"/>
  <c r="Q87" i="1"/>
  <c r="Q85" i="1"/>
  <c r="Q84" i="1"/>
  <c r="Q83" i="1"/>
  <c r="Q79" i="1"/>
  <c r="Q78" i="1"/>
  <c r="Q77" i="1"/>
  <c r="Q76" i="1"/>
  <c r="Q75" i="1"/>
  <c r="Q67" i="1"/>
  <c r="Q68" i="1"/>
  <c r="V68" i="1" s="1"/>
  <c r="Q69" i="1"/>
  <c r="Q71" i="1"/>
  <c r="Q66" i="1"/>
  <c r="Q13" i="1"/>
  <c r="L13" i="1"/>
  <c r="P9" i="1"/>
  <c r="P6" i="2"/>
  <c r="P34" i="2" s="1"/>
  <c r="O9" i="1"/>
  <c r="O6" i="2" s="1"/>
  <c r="O34" i="2" s="1"/>
  <c r="N9" i="1"/>
  <c r="M9" i="1"/>
  <c r="M6" i="2" s="1"/>
  <c r="K9" i="1"/>
  <c r="K6" i="2" s="1"/>
  <c r="K127" i="1"/>
  <c r="I127" i="1"/>
  <c r="K116" i="1"/>
  <c r="K119" i="1"/>
  <c r="K105" i="1"/>
  <c r="K111" i="1" s="1"/>
  <c r="I105" i="1"/>
  <c r="I111" i="1" s="1"/>
  <c r="K101" i="1"/>
  <c r="I101" i="1"/>
  <c r="K92" i="1"/>
  <c r="I92" i="1"/>
  <c r="K86" i="1"/>
  <c r="M34" i="1" s="1"/>
  <c r="N34" i="1"/>
  <c r="I86" i="1"/>
  <c r="K82" i="1"/>
  <c r="I82" i="1"/>
  <c r="J28" i="1" s="1"/>
  <c r="K73" i="1"/>
  <c r="I73" i="1"/>
  <c r="K65" i="1"/>
  <c r="I65" i="1"/>
  <c r="I80" i="1" s="1"/>
  <c r="L54" i="1"/>
  <c r="K53" i="1"/>
  <c r="J53" i="1"/>
  <c r="I53" i="1"/>
  <c r="L52" i="1"/>
  <c r="L47" i="1"/>
  <c r="L137" i="1" s="1"/>
  <c r="L43" i="1"/>
  <c r="L41" i="1"/>
  <c r="L40" i="1" s="1"/>
  <c r="K40" i="1"/>
  <c r="J40" i="1"/>
  <c r="I40" i="1"/>
  <c r="H40" i="1"/>
  <c r="L37" i="1"/>
  <c r="L36" i="1"/>
  <c r="K35" i="1"/>
  <c r="J35" i="1"/>
  <c r="I35" i="1"/>
  <c r="H35" i="1"/>
  <c r="L33" i="1"/>
  <c r="L27" i="1"/>
  <c r="L23" i="1"/>
  <c r="L21" i="1"/>
  <c r="L18" i="1"/>
  <c r="L17" i="1"/>
  <c r="L16" i="1"/>
  <c r="L14" i="1" s="1"/>
  <c r="K14" i="1"/>
  <c r="J14" i="1"/>
  <c r="I14" i="1"/>
  <c r="H14" i="1"/>
  <c r="L12" i="1"/>
  <c r="L11" i="1"/>
  <c r="Q47" i="1"/>
  <c r="Q137" i="1"/>
  <c r="Q43" i="1"/>
  <c r="Q41" i="1"/>
  <c r="Q44" i="1" s="1"/>
  <c r="Q37" i="1"/>
  <c r="Q36" i="1"/>
  <c r="Q35" i="1" s="1"/>
  <c r="Q138" i="1" s="1"/>
  <c r="Q33" i="1"/>
  <c r="Q27" i="1"/>
  <c r="Q23" i="1"/>
  <c r="Q21" i="1"/>
  <c r="Q22" i="1" s="1"/>
  <c r="Q18" i="1"/>
  <c r="Q17" i="1"/>
  <c r="Q16" i="1"/>
  <c r="Q12" i="1"/>
  <c r="Q11" i="1"/>
  <c r="Q60" i="1"/>
  <c r="V179" i="1" s="1"/>
  <c r="Q55" i="1"/>
  <c r="Q54" i="1"/>
  <c r="H25" i="3"/>
  <c r="H26" i="3" s="1"/>
  <c r="P127" i="1"/>
  <c r="P116" i="1"/>
  <c r="P119" i="1"/>
  <c r="P105" i="1"/>
  <c r="P101" i="1"/>
  <c r="P92" i="1"/>
  <c r="P86" i="1"/>
  <c r="P82" i="1"/>
  <c r="S28" i="1" s="1"/>
  <c r="P73" i="1"/>
  <c r="P65" i="1"/>
  <c r="P80" i="1" s="1"/>
  <c r="P53" i="1"/>
  <c r="P40" i="1"/>
  <c r="P35" i="1"/>
  <c r="P14" i="1"/>
  <c r="O53" i="1"/>
  <c r="O40" i="1"/>
  <c r="O35" i="1"/>
  <c r="O14" i="1"/>
  <c r="N127" i="1"/>
  <c r="N116" i="1"/>
  <c r="N119" i="1" s="1"/>
  <c r="N121" i="1" s="1"/>
  <c r="N129" i="1" s="1"/>
  <c r="N105" i="1"/>
  <c r="N111" i="1" s="1"/>
  <c r="N101" i="1"/>
  <c r="N92" i="1"/>
  <c r="N86" i="1"/>
  <c r="P34" i="1" s="1"/>
  <c r="N82" i="1"/>
  <c r="N96" i="1" s="1"/>
  <c r="N73" i="1"/>
  <c r="N65" i="1"/>
  <c r="N53" i="1"/>
  <c r="N40" i="1"/>
  <c r="N35" i="1"/>
  <c r="N14" i="1"/>
  <c r="M53" i="1"/>
  <c r="M40" i="1"/>
  <c r="M35" i="1"/>
  <c r="M14" i="1"/>
  <c r="R53" i="1"/>
  <c r="R40" i="1"/>
  <c r="R35" i="1"/>
  <c r="R14" i="1"/>
  <c r="S127" i="1"/>
  <c r="S116" i="1"/>
  <c r="S119" i="1" s="1"/>
  <c r="S105" i="1"/>
  <c r="S101" i="1"/>
  <c r="S111" i="1" s="1"/>
  <c r="S92" i="1"/>
  <c r="S86" i="1"/>
  <c r="S82" i="1"/>
  <c r="T53" i="1"/>
  <c r="S53" i="1"/>
  <c r="S73" i="1"/>
  <c r="S65" i="1"/>
  <c r="S80" i="1" s="1"/>
  <c r="S40" i="1"/>
  <c r="S35" i="1"/>
  <c r="S14" i="1"/>
  <c r="T35" i="1"/>
  <c r="T40" i="1"/>
  <c r="T14" i="1"/>
  <c r="D1" i="3"/>
  <c r="D48" i="4"/>
  <c r="J1" i="3"/>
  <c r="E1" i="3"/>
  <c r="D8" i="3"/>
  <c r="L136" i="1"/>
  <c r="C8" i="3"/>
  <c r="G136" i="1"/>
  <c r="AP46" i="2"/>
  <c r="V114" i="1"/>
  <c r="AA114" i="1" s="1"/>
  <c r="H32" i="3"/>
  <c r="H31" i="3"/>
  <c r="O27" i="3" s="1"/>
  <c r="E8" i="3"/>
  <c r="Q136" i="1"/>
  <c r="V35" i="1"/>
  <c r="V138" i="1" s="1"/>
  <c r="D45" i="4"/>
  <c r="D46" i="4" s="1"/>
  <c r="E45" i="4"/>
  <c r="E46" i="4" s="1"/>
  <c r="AU46" i="2"/>
  <c r="Z46" i="2"/>
  <c r="AA46" i="2"/>
  <c r="E31" i="4"/>
  <c r="E28" i="4"/>
  <c r="C30" i="4"/>
  <c r="E32" i="4"/>
  <c r="D30" i="4"/>
  <c r="D28" i="4"/>
  <c r="H28" i="4"/>
  <c r="E20" i="4"/>
  <c r="G22" i="4"/>
  <c r="D22" i="4"/>
  <c r="T28" i="1"/>
  <c r="G5" i="1"/>
  <c r="I15" i="1"/>
  <c r="Q14" i="1"/>
  <c r="G92" i="1"/>
  <c r="Q101" i="1"/>
  <c r="Q127" i="1"/>
  <c r="E23" i="4"/>
  <c r="Q105" i="1"/>
  <c r="L127" i="1"/>
  <c r="D23" i="4" s="1"/>
  <c r="L101" i="1"/>
  <c r="L82" i="1"/>
  <c r="D17" i="4" s="1"/>
  <c r="I19" i="1"/>
  <c r="I24" i="1" s="1"/>
  <c r="I26" i="1" s="1"/>
  <c r="L35" i="1"/>
  <c r="L138" i="1" s="1"/>
  <c r="P111" i="1"/>
  <c r="P121" i="1" s="1"/>
  <c r="P129" i="1" s="1"/>
  <c r="S96" i="1"/>
  <c r="F52" i="4"/>
  <c r="AA68" i="1"/>
  <c r="AF68" i="1" s="1"/>
  <c r="G111" i="1"/>
  <c r="G55" i="1"/>
  <c r="AF114" i="1"/>
  <c r="G52" i="4"/>
  <c r="V85" i="1"/>
  <c r="AA92" i="1"/>
  <c r="AB15" i="1"/>
  <c r="AC15" i="1" s="1"/>
  <c r="AK68" i="1"/>
  <c r="AF92" i="1"/>
  <c r="AK92" i="1" s="1"/>
  <c r="AP92" i="1" s="1"/>
  <c r="AU92" i="1" s="1"/>
  <c r="AP70" i="1"/>
  <c r="AU70" i="1" s="1"/>
  <c r="AB40" i="2"/>
  <c r="AC40" i="2"/>
  <c r="AD40" i="2" s="1"/>
  <c r="AF61" i="1"/>
  <c r="AK61" i="1" s="1"/>
  <c r="AP61" i="1"/>
  <c r="AU61" i="1" s="1"/>
  <c r="X48" i="1"/>
  <c r="Y48" i="1" s="1"/>
  <c r="Z48" i="1"/>
  <c r="AB48" i="1" s="1"/>
  <c r="AC48" i="1" s="1"/>
  <c r="AD48" i="1" s="1"/>
  <c r="AE48" i="1" s="1"/>
  <c r="AG48" i="1" s="1"/>
  <c r="AH48" i="1" s="1"/>
  <c r="AI48" i="1" s="1"/>
  <c r="AJ48" i="1" s="1"/>
  <c r="AL48" i="1" s="1"/>
  <c r="AM48" i="1" s="1"/>
  <c r="AN48" i="1" s="1"/>
  <c r="AO48" i="1" s="1"/>
  <c r="AQ48" i="1" s="1"/>
  <c r="AR48" i="1" s="1"/>
  <c r="AS48" i="1" s="1"/>
  <c r="AT48" i="1" s="1"/>
  <c r="AQ29" i="2"/>
  <c r="AR29" i="2"/>
  <c r="AS29" i="2" s="1"/>
  <c r="AQ33" i="2"/>
  <c r="AR33" i="2"/>
  <c r="AS33" i="2"/>
  <c r="AT33" i="2" s="1"/>
  <c r="M7" i="3"/>
  <c r="N7" i="3"/>
  <c r="O7" i="3" s="1"/>
  <c r="P7" i="3" s="1"/>
  <c r="Q73" i="1" l="1"/>
  <c r="G73" i="1"/>
  <c r="K80" i="1"/>
  <c r="N80" i="1"/>
  <c r="F80" i="1"/>
  <c r="G35" i="1"/>
  <c r="G138" i="1" s="1"/>
  <c r="P19" i="1"/>
  <c r="P20" i="1" s="1"/>
  <c r="H19" i="1"/>
  <c r="H24" i="1" s="1"/>
  <c r="T19" i="1"/>
  <c r="T24" i="1" s="1"/>
  <c r="D19" i="1"/>
  <c r="I28" i="1"/>
  <c r="O28" i="1"/>
  <c r="C49" i="4"/>
  <c r="H34" i="1"/>
  <c r="Q86" i="1"/>
  <c r="E49" i="4" s="1"/>
  <c r="D20" i="1"/>
  <c r="D24" i="1"/>
  <c r="D43" i="2" s="1"/>
  <c r="D46" i="2" s="1"/>
  <c r="P15" i="1"/>
  <c r="C19" i="1"/>
  <c r="F19" i="1"/>
  <c r="F20" i="1" s="1"/>
  <c r="R10" i="1"/>
  <c r="AL15" i="1"/>
  <c r="K15" i="1"/>
  <c r="J28" i="2"/>
  <c r="O19" i="1"/>
  <c r="O20" i="1" s="1"/>
  <c r="J15" i="1"/>
  <c r="J34" i="2"/>
  <c r="O35" i="2" s="1"/>
  <c r="L9" i="1"/>
  <c r="J36" i="2"/>
  <c r="K19" i="1"/>
  <c r="K24" i="1" s="1"/>
  <c r="K26" i="1" s="1"/>
  <c r="Q9" i="1"/>
  <c r="Q10" i="1" s="1"/>
  <c r="Q40" i="1"/>
  <c r="L44" i="1"/>
  <c r="G40" i="1"/>
  <c r="K28" i="1"/>
  <c r="P28" i="1"/>
  <c r="G82" i="1"/>
  <c r="P96" i="1"/>
  <c r="P98" i="1" s="1"/>
  <c r="P131" i="1" s="1"/>
  <c r="Q82" i="1"/>
  <c r="E17" i="4" s="1"/>
  <c r="N98" i="1"/>
  <c r="N131" i="1" s="1"/>
  <c r="S98" i="1"/>
  <c r="R28" i="1"/>
  <c r="L65" i="1"/>
  <c r="L80" i="1" s="1"/>
  <c r="D80" i="1"/>
  <c r="H6" i="2"/>
  <c r="L6" i="2" s="1"/>
  <c r="O10" i="1"/>
  <c r="H10" i="1"/>
  <c r="K10" i="1"/>
  <c r="I10" i="1"/>
  <c r="O7" i="2"/>
  <c r="M10" i="1"/>
  <c r="O15" i="1"/>
  <c r="H15" i="1"/>
  <c r="P32" i="2"/>
  <c r="G9" i="1"/>
  <c r="G19" i="1" s="1"/>
  <c r="G24" i="1" s="1"/>
  <c r="P24" i="1"/>
  <c r="P26" i="1" s="1"/>
  <c r="M39" i="2"/>
  <c r="M32" i="2"/>
  <c r="M26" i="2"/>
  <c r="M36" i="2"/>
  <c r="L19" i="1"/>
  <c r="D7" i="4" s="1"/>
  <c r="L15" i="1"/>
  <c r="C45" i="2"/>
  <c r="C28" i="2"/>
  <c r="I34" i="2"/>
  <c r="L74" i="1"/>
  <c r="D6" i="2"/>
  <c r="D45" i="2" s="1"/>
  <c r="P39" i="2"/>
  <c r="C15" i="1"/>
  <c r="J19" i="1"/>
  <c r="P10" i="1"/>
  <c r="T6" i="2"/>
  <c r="T34" i="2" s="1"/>
  <c r="Y34" i="2" s="1"/>
  <c r="AD34" i="2" s="1"/>
  <c r="AI34" i="2" s="1"/>
  <c r="AN34" i="2" s="1"/>
  <c r="AS34" i="2" s="1"/>
  <c r="Q106" i="1"/>
  <c r="I20" i="1"/>
  <c r="F15" i="1"/>
  <c r="H43" i="2"/>
  <c r="H46" i="2" s="1"/>
  <c r="H26" i="1"/>
  <c r="H29" i="1"/>
  <c r="H30" i="1" s="1"/>
  <c r="L111" i="1"/>
  <c r="Q102" i="1"/>
  <c r="Q70" i="1"/>
  <c r="J17" i="3"/>
  <c r="AU169" i="1"/>
  <c r="K17" i="3" s="1"/>
  <c r="G121" i="1"/>
  <c r="G129" i="1" s="1"/>
  <c r="F34" i="1"/>
  <c r="T20" i="1"/>
  <c r="S15" i="1"/>
  <c r="S6" i="2"/>
  <c r="S10" i="1"/>
  <c r="C23" i="4"/>
  <c r="G119" i="1"/>
  <c r="C29" i="4"/>
  <c r="Q116" i="1"/>
  <c r="V116" i="1" s="1"/>
  <c r="J7" i="2"/>
  <c r="J45" i="2"/>
  <c r="J24" i="2"/>
  <c r="J26" i="2"/>
  <c r="Y35" i="1"/>
  <c r="Z36" i="1"/>
  <c r="AB36" i="1" s="1"/>
  <c r="X22" i="1"/>
  <c r="L102" i="1"/>
  <c r="E36" i="2"/>
  <c r="E39" i="2"/>
  <c r="J40" i="2" s="1"/>
  <c r="E28" i="2"/>
  <c r="E26" i="2"/>
  <c r="E24" i="2"/>
  <c r="E34" i="2"/>
  <c r="R34" i="1"/>
  <c r="S34" i="1"/>
  <c r="K96" i="1"/>
  <c r="K98" i="1" s="1"/>
  <c r="M28" i="1"/>
  <c r="N28" i="1"/>
  <c r="N6" i="2"/>
  <c r="N32" i="2" s="1"/>
  <c r="N10" i="1"/>
  <c r="N15" i="1"/>
  <c r="N19" i="1"/>
  <c r="N20" i="1" s="1"/>
  <c r="U21" i="1"/>
  <c r="V21" i="1" s="1"/>
  <c r="V22" i="1" s="1"/>
  <c r="W22" i="1"/>
  <c r="Y22" i="1" s="1"/>
  <c r="F121" i="1"/>
  <c r="F129" i="1" s="1"/>
  <c r="Q28" i="1"/>
  <c r="T10" i="1"/>
  <c r="E19" i="1"/>
  <c r="E15" i="1"/>
  <c r="F96" i="1"/>
  <c r="L24" i="1"/>
  <c r="L29" i="1" s="1"/>
  <c r="J10" i="1"/>
  <c r="Q53" i="1"/>
  <c r="J34" i="1"/>
  <c r="I96" i="1"/>
  <c r="I98" i="1" s="1"/>
  <c r="K34" i="1"/>
  <c r="K121" i="1"/>
  <c r="K129" i="1" s="1"/>
  <c r="L70" i="1"/>
  <c r="M15" i="1"/>
  <c r="M19" i="1"/>
  <c r="M24" i="1" s="1"/>
  <c r="M29" i="1" s="1"/>
  <c r="I28" i="4"/>
  <c r="I31" i="4"/>
  <c r="L5" i="1"/>
  <c r="J31" i="4"/>
  <c r="J28" i="4"/>
  <c r="C15" i="3"/>
  <c r="C1" i="3"/>
  <c r="C20" i="4"/>
  <c r="C28" i="4"/>
  <c r="C21" i="4"/>
  <c r="K1" i="3"/>
  <c r="K28" i="4"/>
  <c r="F28" i="1"/>
  <c r="E28" i="1"/>
  <c r="D96" i="1"/>
  <c r="AK114" i="1"/>
  <c r="H52" i="4"/>
  <c r="G102" i="1"/>
  <c r="C17" i="4"/>
  <c r="AM15" i="1"/>
  <c r="AN15" i="1" s="1"/>
  <c r="G70" i="1"/>
  <c r="S19" i="1"/>
  <c r="K31" i="4"/>
  <c r="M28" i="2"/>
  <c r="M45" i="2"/>
  <c r="M34" i="2"/>
  <c r="M24" i="2"/>
  <c r="P45" i="2"/>
  <c r="P28" i="2"/>
  <c r="P36" i="2"/>
  <c r="U36" i="2" s="1"/>
  <c r="Z36" i="2" s="1"/>
  <c r="AE36" i="2" s="1"/>
  <c r="AJ36" i="2" s="1"/>
  <c r="AO36" i="2" s="1"/>
  <c r="AT36" i="2" s="1"/>
  <c r="E50" i="4"/>
  <c r="H30" i="3"/>
  <c r="O29" i="3" s="1"/>
  <c r="G44" i="1"/>
  <c r="T15" i="1"/>
  <c r="D15" i="3"/>
  <c r="R15" i="1"/>
  <c r="E19" i="4"/>
  <c r="E43" i="4" s="1"/>
  <c r="D32" i="4"/>
  <c r="D34" i="2"/>
  <c r="I35" i="2" s="1"/>
  <c r="U34" i="1"/>
  <c r="L22" i="1"/>
  <c r="Q111" i="1"/>
  <c r="D31" i="4"/>
  <c r="D19" i="4"/>
  <c r="P7" i="2"/>
  <c r="Q65" i="1"/>
  <c r="H27" i="3" s="1"/>
  <c r="I121" i="1"/>
  <c r="I129" i="1" s="1"/>
  <c r="L28" i="1"/>
  <c r="R19" i="1"/>
  <c r="R24" i="1" s="1"/>
  <c r="D20" i="4"/>
  <c r="L119" i="1"/>
  <c r="E30" i="4"/>
  <c r="O34" i="1"/>
  <c r="I17" i="3"/>
  <c r="I36" i="2"/>
  <c r="C32" i="2"/>
  <c r="I29" i="1"/>
  <c r="I39" i="1" s="1"/>
  <c r="I39" i="2"/>
  <c r="F22" i="4"/>
  <c r="F28" i="4"/>
  <c r="C36" i="2"/>
  <c r="F1" i="3"/>
  <c r="I24" i="2"/>
  <c r="G28" i="4"/>
  <c r="C39" i="2"/>
  <c r="I1" i="3"/>
  <c r="G31" i="4"/>
  <c r="M20" i="1"/>
  <c r="J32" i="2"/>
  <c r="I32" i="2"/>
  <c r="N33" i="2" s="1"/>
  <c r="I26" i="2"/>
  <c r="C32" i="4"/>
  <c r="C31" i="4"/>
  <c r="C24" i="2"/>
  <c r="E32" i="2"/>
  <c r="P24" i="2"/>
  <c r="C45" i="4"/>
  <c r="C46" i="4" s="1"/>
  <c r="C48" i="4"/>
  <c r="T29" i="1"/>
  <c r="T30" i="1" s="1"/>
  <c r="C34" i="2"/>
  <c r="F30" i="4"/>
  <c r="I28" i="2"/>
  <c r="H28" i="2"/>
  <c r="H29" i="2" s="1"/>
  <c r="C19" i="4"/>
  <c r="H31" i="4"/>
  <c r="C26" i="2"/>
  <c r="P26" i="2"/>
  <c r="AT29" i="2"/>
  <c r="AE40" i="2"/>
  <c r="AG40" i="2" s="1"/>
  <c r="F50" i="4"/>
  <c r="F20" i="4"/>
  <c r="R39" i="2"/>
  <c r="R28" i="2"/>
  <c r="R45" i="2"/>
  <c r="R34" i="2"/>
  <c r="R7" i="2"/>
  <c r="R26" i="2"/>
  <c r="R32" i="2"/>
  <c r="R24" i="2"/>
  <c r="R36" i="2"/>
  <c r="AP170" i="1"/>
  <c r="Q34" i="1"/>
  <c r="D49" i="4"/>
  <c r="L96" i="1"/>
  <c r="E15" i="3"/>
  <c r="Q80" i="1"/>
  <c r="AD15" i="1"/>
  <c r="AE15" i="1" s="1"/>
  <c r="I43" i="2"/>
  <c r="P43" i="2"/>
  <c r="P46" i="2" s="1"/>
  <c r="P29" i="1"/>
  <c r="AP68" i="1"/>
  <c r="AA100" i="1"/>
  <c r="W31" i="1"/>
  <c r="F19" i="4"/>
  <c r="K32" i="2"/>
  <c r="K36" i="2"/>
  <c r="K34" i="2"/>
  <c r="K45" i="2"/>
  <c r="K28" i="2"/>
  <c r="K26" i="2"/>
  <c r="K24" i="2"/>
  <c r="K7" i="2"/>
  <c r="E16" i="4"/>
  <c r="W32" i="1"/>
  <c r="V31" i="1"/>
  <c r="V32" i="1" s="1"/>
  <c r="U53" i="1"/>
  <c r="U52" i="1"/>
  <c r="C16" i="4"/>
  <c r="C47" i="4"/>
  <c r="G80" i="1"/>
  <c r="L34" i="1"/>
  <c r="G96" i="1"/>
  <c r="K39" i="2"/>
  <c r="AA115" i="1"/>
  <c r="AA152" i="1" s="1"/>
  <c r="F51" i="4"/>
  <c r="F36" i="2"/>
  <c r="F34" i="2"/>
  <c r="F32" i="2"/>
  <c r="F24" i="2"/>
  <c r="F45" i="2"/>
  <c r="F28" i="2"/>
  <c r="F26" i="2"/>
  <c r="D26" i="1"/>
  <c r="Q96" i="1"/>
  <c r="S121" i="1"/>
  <c r="S129" i="1" s="1"/>
  <c r="N34" i="2"/>
  <c r="O24" i="2"/>
  <c r="O26" i="2"/>
  <c r="O39" i="2"/>
  <c r="O45" i="2"/>
  <c r="O28" i="2"/>
  <c r="O36" i="2"/>
  <c r="O32" i="2"/>
  <c r="W21" i="1"/>
  <c r="AK123" i="1"/>
  <c r="H22" i="4"/>
  <c r="Z37" i="1"/>
  <c r="AA37" i="1" s="1"/>
  <c r="V152" i="1"/>
  <c r="V86" i="1"/>
  <c r="H17" i="3"/>
  <c r="H29" i="3"/>
  <c r="O28" i="3" s="1"/>
  <c r="AP102" i="1"/>
  <c r="AU102" i="1" s="1"/>
  <c r="F98" i="1" l="1"/>
  <c r="F131" i="1" s="1"/>
  <c r="L26" i="1"/>
  <c r="O24" i="1"/>
  <c r="O43" i="2" s="1"/>
  <c r="O46" i="2" s="1"/>
  <c r="H20" i="1"/>
  <c r="L20" i="1"/>
  <c r="N28" i="2"/>
  <c r="I25" i="1"/>
  <c r="D29" i="1"/>
  <c r="D30" i="1" s="1"/>
  <c r="M26" i="1"/>
  <c r="N39" i="2"/>
  <c r="N40" i="2" s="1"/>
  <c r="N36" i="2"/>
  <c r="Q36" i="2" s="1"/>
  <c r="N7" i="2"/>
  <c r="M25" i="1"/>
  <c r="M43" i="2"/>
  <c r="T25" i="1"/>
  <c r="P31" i="2"/>
  <c r="N45" i="2"/>
  <c r="Q72" i="1"/>
  <c r="U28" i="1"/>
  <c r="U27" i="1" s="1"/>
  <c r="V27" i="1" s="1"/>
  <c r="G98" i="1"/>
  <c r="Q15" i="1"/>
  <c r="T26" i="2"/>
  <c r="Y26" i="2" s="1"/>
  <c r="AD26" i="2" s="1"/>
  <c r="AI26" i="2" s="1"/>
  <c r="AN26" i="2" s="1"/>
  <c r="AS26" i="2" s="1"/>
  <c r="Q19" i="1"/>
  <c r="E7" i="4" s="1"/>
  <c r="H7" i="2"/>
  <c r="E6" i="4"/>
  <c r="K43" i="2"/>
  <c r="K46" i="2" s="1"/>
  <c r="N26" i="2"/>
  <c r="N27" i="2" s="1"/>
  <c r="H26" i="2"/>
  <c r="L26" i="2" s="1"/>
  <c r="T28" i="2"/>
  <c r="Y28" i="2" s="1"/>
  <c r="AD28" i="2" s="1"/>
  <c r="R25" i="1"/>
  <c r="J29" i="2"/>
  <c r="J27" i="2"/>
  <c r="F24" i="1"/>
  <c r="K25" i="1" s="1"/>
  <c r="L10" i="1"/>
  <c r="C7" i="4"/>
  <c r="G15" i="1"/>
  <c r="C24" i="1"/>
  <c r="C20" i="1"/>
  <c r="Q74" i="1"/>
  <c r="M7" i="2"/>
  <c r="H39" i="1"/>
  <c r="H42" i="1" s="1"/>
  <c r="T32" i="2"/>
  <c r="T33" i="2" s="1"/>
  <c r="K20" i="1"/>
  <c r="AO15" i="1"/>
  <c r="AQ15" i="1" s="1"/>
  <c r="C8" i="4"/>
  <c r="G26" i="1"/>
  <c r="G29" i="1"/>
  <c r="G30" i="1" s="1"/>
  <c r="L25" i="1"/>
  <c r="D6" i="4"/>
  <c r="D32" i="2"/>
  <c r="I33" i="2" s="1"/>
  <c r="T45" i="2"/>
  <c r="U45" i="2" s="1"/>
  <c r="J35" i="2"/>
  <c r="L106" i="1"/>
  <c r="AA106" i="1" s="1"/>
  <c r="AF106" i="1" s="1"/>
  <c r="P25" i="1"/>
  <c r="J37" i="2"/>
  <c r="T36" i="2"/>
  <c r="Y36" i="2" s="1"/>
  <c r="AD36" i="2" s="1"/>
  <c r="AI36" i="2" s="1"/>
  <c r="AN36" i="2" s="1"/>
  <c r="AS36" i="2" s="1"/>
  <c r="G20" i="1"/>
  <c r="T39" i="2"/>
  <c r="Y39" i="2" s="1"/>
  <c r="AD39" i="2" s="1"/>
  <c r="T24" i="2"/>
  <c r="Y24" i="2" s="1"/>
  <c r="AD24" i="2" s="1"/>
  <c r="AI24" i="2" s="1"/>
  <c r="AN24" i="2" s="1"/>
  <c r="T35" i="2"/>
  <c r="G106" i="1"/>
  <c r="G72" i="1"/>
  <c r="T7" i="2"/>
  <c r="C6" i="4"/>
  <c r="I7" i="2"/>
  <c r="L72" i="1"/>
  <c r="K29" i="1"/>
  <c r="K30" i="1" s="1"/>
  <c r="G74" i="1"/>
  <c r="V28" i="1"/>
  <c r="F8" i="3"/>
  <c r="V136" i="1"/>
  <c r="S131" i="1"/>
  <c r="Q98" i="1"/>
  <c r="E18" i="4" s="1"/>
  <c r="C43" i="4"/>
  <c r="E47" i="4"/>
  <c r="E53" i="4" s="1"/>
  <c r="L98" i="1"/>
  <c r="D18" i="4" s="1"/>
  <c r="D47" i="4"/>
  <c r="D53" i="4" s="1"/>
  <c r="D98" i="1"/>
  <c r="D131" i="1" s="1"/>
  <c r="D16" i="4"/>
  <c r="C31" i="2"/>
  <c r="R43" i="2"/>
  <c r="R46" i="2" s="1"/>
  <c r="H45" i="2"/>
  <c r="H34" i="2"/>
  <c r="M35" i="2" s="1"/>
  <c r="H32" i="2"/>
  <c r="M33" i="2" s="1"/>
  <c r="H36" i="2"/>
  <c r="L36" i="2" s="1"/>
  <c r="H24" i="2"/>
  <c r="M25" i="2" s="1"/>
  <c r="H39" i="2"/>
  <c r="L39" i="2" s="1"/>
  <c r="Q24" i="1"/>
  <c r="Q26" i="1" s="1"/>
  <c r="D36" i="2"/>
  <c r="J23" i="2"/>
  <c r="U15" i="1"/>
  <c r="J20" i="1"/>
  <c r="J24" i="1"/>
  <c r="O25" i="1" s="1"/>
  <c r="D28" i="2"/>
  <c r="G28" i="2" s="1"/>
  <c r="D24" i="2"/>
  <c r="E23" i="2"/>
  <c r="G6" i="2"/>
  <c r="G45" i="2" s="1"/>
  <c r="D39" i="2"/>
  <c r="I40" i="2" s="1"/>
  <c r="D26" i="2"/>
  <c r="U33" i="1"/>
  <c r="V33" i="1" s="1"/>
  <c r="V34" i="1" s="1"/>
  <c r="D43" i="4"/>
  <c r="S45" i="2"/>
  <c r="S26" i="2"/>
  <c r="X26" i="2" s="1"/>
  <c r="AC26" i="2" s="1"/>
  <c r="AH26" i="2" s="1"/>
  <c r="AM26" i="2" s="1"/>
  <c r="AR26" i="2" s="1"/>
  <c r="S32" i="2"/>
  <c r="S20" i="1"/>
  <c r="S24" i="1"/>
  <c r="O29" i="1"/>
  <c r="O26" i="1"/>
  <c r="S39" i="2"/>
  <c r="X39" i="2" s="1"/>
  <c r="AC39" i="2" s="1"/>
  <c r="I131" i="1"/>
  <c r="T43" i="2"/>
  <c r="T46" i="2" s="1"/>
  <c r="T26" i="1"/>
  <c r="K131" i="1"/>
  <c r="V82" i="1"/>
  <c r="Q6" i="2"/>
  <c r="Q45" i="2" s="1"/>
  <c r="M29" i="2"/>
  <c r="S24" i="2"/>
  <c r="X24" i="2" s="1"/>
  <c r="R20" i="1"/>
  <c r="S28" i="2"/>
  <c r="X28" i="2" s="1"/>
  <c r="AC28" i="2" s="1"/>
  <c r="AH28" i="2" s="1"/>
  <c r="AM28" i="2" s="1"/>
  <c r="AR28" i="2" s="1"/>
  <c r="R29" i="1"/>
  <c r="R30" i="1" s="1"/>
  <c r="E24" i="1"/>
  <c r="E20" i="1"/>
  <c r="W34" i="1"/>
  <c r="X34" i="1" s="1"/>
  <c r="P23" i="2"/>
  <c r="AC36" i="1"/>
  <c r="AD36" i="1" s="1"/>
  <c r="AE36" i="1" s="1"/>
  <c r="AG36" i="1" s="1"/>
  <c r="AH36" i="1" s="1"/>
  <c r="AI36" i="1" s="1"/>
  <c r="V189" i="1"/>
  <c r="V192" i="1" s="1"/>
  <c r="F32" i="4" s="1"/>
  <c r="V119" i="1"/>
  <c r="AA116" i="1"/>
  <c r="E31" i="2"/>
  <c r="N24" i="2"/>
  <c r="N25" i="2" s="1"/>
  <c r="M31" i="2"/>
  <c r="R26" i="1"/>
  <c r="Q121" i="1"/>
  <c r="D14" i="3"/>
  <c r="I52" i="4"/>
  <c r="AP114" i="1"/>
  <c r="AA36" i="1"/>
  <c r="AA35" i="1" s="1"/>
  <c r="AA138" i="1" s="1"/>
  <c r="AA85" i="1" s="1"/>
  <c r="G50" i="4" s="1"/>
  <c r="D8" i="4"/>
  <c r="S36" i="2"/>
  <c r="X36" i="2" s="1"/>
  <c r="AC36" i="2" s="1"/>
  <c r="AH36" i="2" s="1"/>
  <c r="AM36" i="2" s="1"/>
  <c r="AR36" i="2" s="1"/>
  <c r="N24" i="1"/>
  <c r="N43" i="2" s="1"/>
  <c r="N46" i="2" s="1"/>
  <c r="Q119" i="1"/>
  <c r="S7" i="2"/>
  <c r="M23" i="2"/>
  <c r="G34" i="2"/>
  <c r="C53" i="4"/>
  <c r="S34" i="2"/>
  <c r="X34" i="2" s="1"/>
  <c r="AC34" i="2" s="1"/>
  <c r="AH34" i="2" s="1"/>
  <c r="AM34" i="2" s="1"/>
  <c r="AR34" i="2" s="1"/>
  <c r="J25" i="2"/>
  <c r="L121" i="1"/>
  <c r="C23" i="2"/>
  <c r="J33" i="2"/>
  <c r="J31" i="2"/>
  <c r="N31" i="2"/>
  <c r="T31" i="2"/>
  <c r="I25" i="2"/>
  <c r="I23" i="2"/>
  <c r="I30" i="1"/>
  <c r="T39" i="1"/>
  <c r="I31" i="2"/>
  <c r="D39" i="1"/>
  <c r="Y21" i="1"/>
  <c r="R25" i="2"/>
  <c r="W24" i="2"/>
  <c r="R23" i="2"/>
  <c r="N37" i="2"/>
  <c r="Z35" i="1"/>
  <c r="AB37" i="1"/>
  <c r="M30" i="1"/>
  <c r="M39" i="1"/>
  <c r="R31" i="2"/>
  <c r="W32" i="2"/>
  <c r="R33" i="2"/>
  <c r="Z22" i="1"/>
  <c r="O40" i="2"/>
  <c r="Q39" i="2"/>
  <c r="L45" i="2"/>
  <c r="G19" i="4"/>
  <c r="AF100" i="1"/>
  <c r="I46" i="2"/>
  <c r="R27" i="2"/>
  <c r="W26" i="2"/>
  <c r="N29" i="2"/>
  <c r="AP123" i="1"/>
  <c r="I22" i="4"/>
  <c r="O27" i="2"/>
  <c r="G51" i="4"/>
  <c r="AF115" i="1"/>
  <c r="P33" i="2"/>
  <c r="K33" i="2"/>
  <c r="K31" i="2"/>
  <c r="I45" i="1"/>
  <c r="I42" i="1"/>
  <c r="M46" i="2"/>
  <c r="AA113" i="1"/>
  <c r="O26" i="3"/>
  <c r="H33" i="3"/>
  <c r="AU170" i="1"/>
  <c r="W34" i="2"/>
  <c r="R35" i="2"/>
  <c r="AH40" i="2"/>
  <c r="N35" i="2"/>
  <c r="K37" i="2"/>
  <c r="P37" i="2"/>
  <c r="F49" i="4"/>
  <c r="V172" i="1"/>
  <c r="V177" i="1" s="1"/>
  <c r="F29" i="4" s="1"/>
  <c r="AA86" i="1"/>
  <c r="U55" i="1"/>
  <c r="V55" i="1" s="1"/>
  <c r="W53" i="1"/>
  <c r="W55" i="1" s="1"/>
  <c r="K27" i="2"/>
  <c r="P27" i="2"/>
  <c r="Q34" i="2"/>
  <c r="AU68" i="1"/>
  <c r="E14" i="3"/>
  <c r="C9" i="4"/>
  <c r="G39" i="1"/>
  <c r="O29" i="2"/>
  <c r="K35" i="2"/>
  <c r="L34" i="2"/>
  <c r="X21" i="1"/>
  <c r="O25" i="2"/>
  <c r="O23" i="2"/>
  <c r="P40" i="2"/>
  <c r="K40" i="2"/>
  <c r="V52" i="1"/>
  <c r="U54" i="1"/>
  <c r="V54" i="1" s="1"/>
  <c r="W52" i="1"/>
  <c r="W54" i="1" s="1"/>
  <c r="P25" i="2"/>
  <c r="K23" i="2"/>
  <c r="K25" i="2"/>
  <c r="Q32" i="2"/>
  <c r="O33" i="2"/>
  <c r="O31" i="2"/>
  <c r="F23" i="2"/>
  <c r="G24" i="2"/>
  <c r="P29" i="2"/>
  <c r="L28" i="2"/>
  <c r="K29" i="2"/>
  <c r="P35" i="2"/>
  <c r="P30" i="1"/>
  <c r="P39" i="1"/>
  <c r="R29" i="2"/>
  <c r="W28" i="2"/>
  <c r="O37" i="2"/>
  <c r="Q28" i="2"/>
  <c r="F31" i="2"/>
  <c r="G131" i="1"/>
  <c r="C18" i="4"/>
  <c r="X32" i="1"/>
  <c r="Y32" i="1" s="1"/>
  <c r="D9" i="4"/>
  <c r="L39" i="1"/>
  <c r="L30" i="1"/>
  <c r="R37" i="2"/>
  <c r="W36" i="2"/>
  <c r="W39" i="2"/>
  <c r="R40" i="2"/>
  <c r="C4" i="3" l="1"/>
  <c r="C18" i="3" s="1"/>
  <c r="D4" i="3"/>
  <c r="D9" i="3" s="1"/>
  <c r="E4" i="3"/>
  <c r="E18" i="3" s="1"/>
  <c r="V74" i="1"/>
  <c r="H45" i="1"/>
  <c r="H49" i="1" s="1"/>
  <c r="H55" i="1" s="1"/>
  <c r="Q20" i="1"/>
  <c r="S25" i="1"/>
  <c r="S40" i="2"/>
  <c r="G32" i="2"/>
  <c r="M40" i="2"/>
  <c r="T29" i="2"/>
  <c r="Y32" i="2"/>
  <c r="Y31" i="2" s="1"/>
  <c r="W28" i="1"/>
  <c r="E37" i="4"/>
  <c r="Q26" i="2"/>
  <c r="H27" i="2"/>
  <c r="T27" i="2"/>
  <c r="N29" i="1"/>
  <c r="N30" i="1" s="1"/>
  <c r="M27" i="2"/>
  <c r="F43" i="2"/>
  <c r="F46" i="2" s="1"/>
  <c r="F29" i="1"/>
  <c r="F26" i="1"/>
  <c r="Q7" i="2"/>
  <c r="C29" i="1"/>
  <c r="C26" i="1"/>
  <c r="H25" i="1"/>
  <c r="C43" i="2"/>
  <c r="C46" i="2" s="1"/>
  <c r="C54" i="4"/>
  <c r="D37" i="4"/>
  <c r="D38" i="4"/>
  <c r="AR15" i="1"/>
  <c r="AS15" i="1" s="1"/>
  <c r="C37" i="4"/>
  <c r="D5" i="3"/>
  <c r="R39" i="1"/>
  <c r="R42" i="1" s="1"/>
  <c r="G14" i="2"/>
  <c r="D31" i="2"/>
  <c r="T25" i="2"/>
  <c r="L7" i="2"/>
  <c r="H40" i="2"/>
  <c r="T23" i="2"/>
  <c r="K39" i="1"/>
  <c r="K42" i="1" s="1"/>
  <c r="Q25" i="1"/>
  <c r="Q29" i="1"/>
  <c r="T37" i="2"/>
  <c r="H33" i="2"/>
  <c r="G39" i="2"/>
  <c r="G21" i="2" s="1"/>
  <c r="D36" i="4"/>
  <c r="AK106" i="1"/>
  <c r="AP106" i="1" s="1"/>
  <c r="AU106" i="1" s="1"/>
  <c r="H23" i="2"/>
  <c r="L24" i="2"/>
  <c r="L25" i="2" s="1"/>
  <c r="L32" i="2"/>
  <c r="T40" i="2"/>
  <c r="H48" i="1"/>
  <c r="H25" i="2"/>
  <c r="C9" i="3"/>
  <c r="E36" i="4"/>
  <c r="C38" i="4"/>
  <c r="H35" i="2"/>
  <c r="V36" i="2"/>
  <c r="H46" i="1"/>
  <c r="S27" i="2"/>
  <c r="U27" i="2" s="1"/>
  <c r="U26" i="2" s="1"/>
  <c r="H37" i="2"/>
  <c r="M37" i="2"/>
  <c r="H31" i="2"/>
  <c r="D23" i="2"/>
  <c r="I37" i="2"/>
  <c r="Q24" i="2"/>
  <c r="E8" i="4"/>
  <c r="E38" i="4" s="1"/>
  <c r="I27" i="2"/>
  <c r="J29" i="1"/>
  <c r="J26" i="1"/>
  <c r="J43" i="2"/>
  <c r="I29" i="2"/>
  <c r="G26" i="2"/>
  <c r="G13" i="2" s="1"/>
  <c r="G36" i="2"/>
  <c r="G19" i="2" s="1"/>
  <c r="S37" i="2"/>
  <c r="G18" i="2"/>
  <c r="D54" i="4"/>
  <c r="X33" i="1"/>
  <c r="W27" i="1"/>
  <c r="S25" i="2"/>
  <c r="N26" i="1"/>
  <c r="D21" i="4"/>
  <c r="L129" i="1"/>
  <c r="L131" i="1" s="1"/>
  <c r="Q129" i="1"/>
  <c r="Q131" i="1" s="1"/>
  <c r="E21" i="4"/>
  <c r="X32" i="2"/>
  <c r="S33" i="2"/>
  <c r="U33" i="2" s="1"/>
  <c r="U32" i="2" s="1"/>
  <c r="V32" i="2" s="1"/>
  <c r="V33" i="2" s="1"/>
  <c r="S31" i="2"/>
  <c r="F17" i="4"/>
  <c r="N23" i="2"/>
  <c r="Q46" i="2"/>
  <c r="W33" i="1"/>
  <c r="S29" i="2"/>
  <c r="U29" i="2" s="1"/>
  <c r="U28" i="2" s="1"/>
  <c r="V28" i="2" s="1"/>
  <c r="O30" i="1"/>
  <c r="O39" i="1"/>
  <c r="S43" i="2"/>
  <c r="S46" i="2" s="1"/>
  <c r="V46" i="2" s="1"/>
  <c r="S29" i="1"/>
  <c r="S26" i="1"/>
  <c r="N25" i="1"/>
  <c r="V96" i="1"/>
  <c r="S35" i="2"/>
  <c r="J25" i="1"/>
  <c r="E43" i="2"/>
  <c r="E29" i="1"/>
  <c r="E26" i="1"/>
  <c r="AU114" i="1"/>
  <c r="K52" i="4" s="1"/>
  <c r="J52" i="4"/>
  <c r="Y34" i="1"/>
  <c r="Y33" i="1" s="1"/>
  <c r="S23" i="2"/>
  <c r="AA189" i="1"/>
  <c r="AF116" i="1"/>
  <c r="AF36" i="1"/>
  <c r="AS24" i="2"/>
  <c r="U40" i="2"/>
  <c r="U39" i="2" s="1"/>
  <c r="V39" i="2" s="1"/>
  <c r="Q43" i="2"/>
  <c r="D45" i="1"/>
  <c r="D49" i="1" s="1"/>
  <c r="D42" i="1"/>
  <c r="Y23" i="2"/>
  <c r="T42" i="1"/>
  <c r="T45" i="1"/>
  <c r="Q30" i="1"/>
  <c r="E9" i="4"/>
  <c r="Q39" i="1"/>
  <c r="X23" i="2"/>
  <c r="AC24" i="2"/>
  <c r="AD23" i="2"/>
  <c r="AI28" i="2"/>
  <c r="Y31" i="1"/>
  <c r="AB36" i="2"/>
  <c r="AA36" i="2"/>
  <c r="I49" i="1"/>
  <c r="I46" i="1"/>
  <c r="I48" i="1"/>
  <c r="AK115" i="1"/>
  <c r="H51" i="4"/>
  <c r="AF152" i="1"/>
  <c r="Z21" i="1"/>
  <c r="M45" i="1"/>
  <c r="M42" i="1"/>
  <c r="Q19" i="2"/>
  <c r="Q37" i="2"/>
  <c r="V37" i="2"/>
  <c r="Q18" i="2"/>
  <c r="Q35" i="2"/>
  <c r="G49" i="4"/>
  <c r="AA172" i="1"/>
  <c r="AA177" i="1" s="1"/>
  <c r="G29" i="4" s="1"/>
  <c r="AF86" i="1"/>
  <c r="AB34" i="2"/>
  <c r="AU123" i="1"/>
  <c r="J22" i="4"/>
  <c r="AK100" i="1"/>
  <c r="H19" i="4"/>
  <c r="G12" i="2"/>
  <c r="X52" i="1"/>
  <c r="P45" i="1"/>
  <c r="P42" i="1"/>
  <c r="L18" i="2"/>
  <c r="L35" i="2"/>
  <c r="AB28" i="2"/>
  <c r="W45" i="2"/>
  <c r="X45" i="2" s="1"/>
  <c r="G20" i="4"/>
  <c r="AF113" i="1"/>
  <c r="AA119" i="1"/>
  <c r="V53" i="1"/>
  <c r="F45" i="4"/>
  <c r="F46" i="4" s="1"/>
  <c r="AB26" i="2"/>
  <c r="AB22" i="1"/>
  <c r="Z32" i="1"/>
  <c r="X31" i="1"/>
  <c r="Q12" i="2"/>
  <c r="L13" i="2"/>
  <c r="L42" i="1"/>
  <c r="D11" i="3" s="1"/>
  <c r="L45" i="1"/>
  <c r="G17" i="2"/>
  <c r="AJ36" i="1"/>
  <c r="U35" i="2"/>
  <c r="U34" i="2" s="1"/>
  <c r="D6" i="3"/>
  <c r="D39" i="4"/>
  <c r="Q13" i="2"/>
  <c r="Q27" i="2"/>
  <c r="Q33" i="2"/>
  <c r="Q17" i="2"/>
  <c r="Q31" i="2"/>
  <c r="L40" i="2"/>
  <c r="L21" i="2"/>
  <c r="G45" i="1"/>
  <c r="G42" i="1"/>
  <c r="C11" i="3" s="1"/>
  <c r="X53" i="1"/>
  <c r="X55" i="1" s="1"/>
  <c r="AA74" i="1"/>
  <c r="L33" i="2"/>
  <c r="L31" i="2"/>
  <c r="L17" i="2"/>
  <c r="Q40" i="2"/>
  <c r="Q21" i="2"/>
  <c r="AB35" i="1"/>
  <c r="AC37" i="1"/>
  <c r="Q29" i="2"/>
  <c r="Q14" i="2"/>
  <c r="AB39" i="2"/>
  <c r="L14" i="2"/>
  <c r="L29" i="2"/>
  <c r="C39" i="4"/>
  <c r="C6" i="3"/>
  <c r="L19" i="2"/>
  <c r="AH39" i="2"/>
  <c r="AI40" i="2"/>
  <c r="AB32" i="2"/>
  <c r="W31" i="2"/>
  <c r="W23" i="2"/>
  <c r="AB24" i="2"/>
  <c r="E5" i="3" l="1"/>
  <c r="D16" i="3"/>
  <c r="E16" i="3"/>
  <c r="D18" i="3"/>
  <c r="C16" i="3"/>
  <c r="E9" i="3"/>
  <c r="H57" i="1"/>
  <c r="C30" i="1"/>
  <c r="C39" i="1"/>
  <c r="C45" i="1" s="1"/>
  <c r="AD32" i="2"/>
  <c r="N39" i="1"/>
  <c r="N42" i="1" s="1"/>
  <c r="U25" i="2"/>
  <c r="U24" i="2" s="1"/>
  <c r="Z24" i="2" s="1"/>
  <c r="AA24" i="2" s="1"/>
  <c r="X28" i="1"/>
  <c r="Y28" i="1"/>
  <c r="Y27" i="1" s="1"/>
  <c r="F39" i="1"/>
  <c r="F30" i="1"/>
  <c r="L23" i="2"/>
  <c r="L12" i="2"/>
  <c r="L37" i="2"/>
  <c r="R45" i="1"/>
  <c r="R48" i="1" s="1"/>
  <c r="Q25" i="2"/>
  <c r="G31" i="2"/>
  <c r="W6" i="2"/>
  <c r="W13" i="2" s="1"/>
  <c r="G11" i="2"/>
  <c r="AT15" i="1"/>
  <c r="K45" i="1"/>
  <c r="K49" i="1" s="1"/>
  <c r="L27" i="2"/>
  <c r="G23" i="2"/>
  <c r="Y6" i="2"/>
  <c r="Y19" i="2" s="1"/>
  <c r="J46" i="2"/>
  <c r="L46" i="2" s="1"/>
  <c r="L43" i="2"/>
  <c r="L11" i="2"/>
  <c r="G16" i="2"/>
  <c r="G9" i="2" s="1"/>
  <c r="Q23" i="2"/>
  <c r="E54" i="4"/>
  <c r="J39" i="1"/>
  <c r="J30" i="1"/>
  <c r="V24" i="2"/>
  <c r="V25" i="2" s="1"/>
  <c r="AF189" i="1"/>
  <c r="AK116" i="1"/>
  <c r="E46" i="2"/>
  <c r="G46" i="2" s="1"/>
  <c r="G43" i="2"/>
  <c r="O42" i="1"/>
  <c r="O45" i="1"/>
  <c r="Z32" i="2"/>
  <c r="AA32" i="2" s="1"/>
  <c r="AC32" i="2"/>
  <c r="X31" i="2"/>
  <c r="X6" i="2" s="1"/>
  <c r="X44" i="2" s="1"/>
  <c r="X43" i="2" s="1"/>
  <c r="Z34" i="1"/>
  <c r="AB34" i="1" s="1"/>
  <c r="S30" i="1"/>
  <c r="S39" i="1"/>
  <c r="E39" i="1"/>
  <c r="E30" i="1"/>
  <c r="U31" i="2"/>
  <c r="Q16" i="2"/>
  <c r="Z39" i="2"/>
  <c r="AA39" i="2" s="1"/>
  <c r="AA40" i="2" s="1"/>
  <c r="Z28" i="2"/>
  <c r="AA28" i="2" s="1"/>
  <c r="AA29" i="2" s="1"/>
  <c r="Y14" i="2"/>
  <c r="U23" i="2"/>
  <c r="AC23" i="2"/>
  <c r="AH24" i="2"/>
  <c r="D48" i="1"/>
  <c r="I50" i="1"/>
  <c r="D46" i="1"/>
  <c r="AI32" i="2"/>
  <c r="AD31" i="2"/>
  <c r="AD6" i="2" s="1"/>
  <c r="AD17" i="2" s="1"/>
  <c r="AI23" i="2"/>
  <c r="AN28" i="2"/>
  <c r="Q42" i="1"/>
  <c r="E11" i="3" s="1"/>
  <c r="Q45" i="1"/>
  <c r="E39" i="4"/>
  <c r="E6" i="3"/>
  <c r="L16" i="2"/>
  <c r="T48" i="1"/>
  <c r="T49" i="1"/>
  <c r="T46" i="1"/>
  <c r="W12" i="2"/>
  <c r="AB31" i="2"/>
  <c r="AG32" i="2"/>
  <c r="G49" i="1"/>
  <c r="G46" i="1"/>
  <c r="G48" i="1"/>
  <c r="AL36" i="1"/>
  <c r="W17" i="2"/>
  <c r="AF74" i="1"/>
  <c r="D7" i="3"/>
  <c r="D10" i="3"/>
  <c r="D12" i="3" s="1"/>
  <c r="D19" i="3" s="1"/>
  <c r="L46" i="1"/>
  <c r="L48" i="1"/>
  <c r="L49" i="1"/>
  <c r="AG34" i="2"/>
  <c r="AE24" i="2"/>
  <c r="AF24" i="2" s="1"/>
  <c r="M48" i="1"/>
  <c r="M49" i="1"/>
  <c r="M46" i="1"/>
  <c r="V40" i="2"/>
  <c r="AA37" i="2"/>
  <c r="AB23" i="2"/>
  <c r="AG24" i="2"/>
  <c r="W21" i="2"/>
  <c r="Y53" i="1"/>
  <c r="Y55" i="1" s="1"/>
  <c r="Z34" i="2"/>
  <c r="V34" i="2"/>
  <c r="Z31" i="1"/>
  <c r="AA31" i="1" s="1"/>
  <c r="AA32" i="1" s="1"/>
  <c r="Y45" i="2"/>
  <c r="AA21" i="1"/>
  <c r="AA22" i="1" s="1"/>
  <c r="I58" i="1"/>
  <c r="I57" i="1"/>
  <c r="AG36" i="2"/>
  <c r="AF36" i="2"/>
  <c r="AG39" i="2"/>
  <c r="C12" i="3"/>
  <c r="C19" i="3" s="1"/>
  <c r="C7" i="3"/>
  <c r="AK36" i="1"/>
  <c r="AC22" i="1"/>
  <c r="AB21" i="1"/>
  <c r="AK113" i="1"/>
  <c r="H20" i="4"/>
  <c r="AF119" i="1"/>
  <c r="AK86" i="1"/>
  <c r="H49" i="4"/>
  <c r="AF172" i="1"/>
  <c r="AF177" i="1" s="1"/>
  <c r="H29" i="4" s="1"/>
  <c r="AP100" i="1"/>
  <c r="I19" i="4"/>
  <c r="AB32" i="1"/>
  <c r="AG26" i="2"/>
  <c r="AG28" i="2"/>
  <c r="Y52" i="1"/>
  <c r="Y54" i="1" s="1"/>
  <c r="K22" i="4"/>
  <c r="AJ40" i="2"/>
  <c r="AL40" i="2" s="1"/>
  <c r="AI39" i="2"/>
  <c r="V29" i="2"/>
  <c r="X54" i="1"/>
  <c r="P49" i="1"/>
  <c r="P46" i="1"/>
  <c r="P48" i="1"/>
  <c r="AA25" i="2"/>
  <c r="AD37" i="1"/>
  <c r="AC35" i="1"/>
  <c r="Q11" i="2"/>
  <c r="L55" i="1"/>
  <c r="L53" i="1" s="1"/>
  <c r="H53" i="1"/>
  <c r="Z26" i="2"/>
  <c r="V26" i="2"/>
  <c r="V23" i="2" s="1"/>
  <c r="AP115" i="1"/>
  <c r="I51" i="4"/>
  <c r="AK152" i="1"/>
  <c r="R49" i="1" l="1"/>
  <c r="R57" i="1" s="1"/>
  <c r="N45" i="1"/>
  <c r="R46" i="1"/>
  <c r="W9" i="1"/>
  <c r="W7" i="2"/>
  <c r="W14" i="2"/>
  <c r="W44" i="2"/>
  <c r="W19" i="2"/>
  <c r="W18" i="2"/>
  <c r="W16" i="2" s="1"/>
  <c r="C49" i="1"/>
  <c r="H50" i="1" s="1"/>
  <c r="C46" i="1"/>
  <c r="X27" i="1"/>
  <c r="Z28" i="1"/>
  <c r="Z27" i="1" s="1"/>
  <c r="AA27" i="1" s="1"/>
  <c r="G8" i="3" s="1"/>
  <c r="K46" i="1"/>
  <c r="C42" i="1"/>
  <c r="F45" i="1"/>
  <c r="F42" i="1"/>
  <c r="Y17" i="2"/>
  <c r="K48" i="1"/>
  <c r="Y21" i="2"/>
  <c r="Y9" i="1"/>
  <c r="Y14" i="1" s="1"/>
  <c r="Y19" i="1" s="1"/>
  <c r="Y20" i="1" s="1"/>
  <c r="Y7" i="2"/>
  <c r="Y12" i="2"/>
  <c r="Y13" i="2"/>
  <c r="Y11" i="2" s="1"/>
  <c r="Y18" i="2"/>
  <c r="X19" i="2"/>
  <c r="X18" i="2"/>
  <c r="X14" i="2"/>
  <c r="L9" i="2"/>
  <c r="W11" i="2"/>
  <c r="J45" i="1"/>
  <c r="J42" i="1"/>
  <c r="AB33" i="1"/>
  <c r="AE32" i="2"/>
  <c r="AF32" i="2" s="1"/>
  <c r="X17" i="2"/>
  <c r="X16" i="2" s="1"/>
  <c r="X13" i="2"/>
  <c r="X21" i="2"/>
  <c r="AB6" i="2"/>
  <c r="AB17" i="2" s="1"/>
  <c r="X7" i="2"/>
  <c r="AH32" i="2"/>
  <c r="AC31" i="2"/>
  <c r="AC6" i="2" s="1"/>
  <c r="X9" i="1"/>
  <c r="X10" i="1" s="1"/>
  <c r="E42" i="1"/>
  <c r="E45" i="1"/>
  <c r="K57" i="1"/>
  <c r="K58" i="1"/>
  <c r="AP116" i="1"/>
  <c r="AK189" i="1"/>
  <c r="Z33" i="1"/>
  <c r="AA33" i="1" s="1"/>
  <c r="AA34" i="1" s="1"/>
  <c r="AC34" i="1"/>
  <c r="AC33" i="1" s="1"/>
  <c r="Z23" i="2"/>
  <c r="Q9" i="2"/>
  <c r="X24" i="1"/>
  <c r="X25" i="1" s="1"/>
  <c r="X12" i="2"/>
  <c r="U6" i="2"/>
  <c r="U18" i="2" s="1"/>
  <c r="S45" i="1"/>
  <c r="S42" i="1"/>
  <c r="O48" i="1"/>
  <c r="O46" i="1"/>
  <c r="O49" i="1"/>
  <c r="AE28" i="2"/>
  <c r="AF28" i="2" s="1"/>
  <c r="AF29" i="2" s="1"/>
  <c r="Q49" i="1"/>
  <c r="Q46" i="1"/>
  <c r="Q48" i="1"/>
  <c r="U48" i="1" s="1"/>
  <c r="AN32" i="2"/>
  <c r="AI31" i="2"/>
  <c r="AI6" i="2" s="1"/>
  <c r="AI21" i="2" s="1"/>
  <c r="AE39" i="2"/>
  <c r="AF39" i="2" s="1"/>
  <c r="AS28" i="2"/>
  <c r="AS23" i="2" s="1"/>
  <c r="AN23" i="2"/>
  <c r="D58" i="1"/>
  <c r="D57" i="1"/>
  <c r="T57" i="1"/>
  <c r="T58" i="1"/>
  <c r="AM24" i="2"/>
  <c r="AH23" i="2"/>
  <c r="N49" i="1"/>
  <c r="N48" i="1"/>
  <c r="N46" i="1"/>
  <c r="AD9" i="1"/>
  <c r="AD18" i="2"/>
  <c r="AD14" i="2"/>
  <c r="AD7" i="2"/>
  <c r="AD13" i="2"/>
  <c r="AD19" i="2"/>
  <c r="AD12" i="2"/>
  <c r="AD21" i="2"/>
  <c r="U44" i="2"/>
  <c r="V44" i="2" s="1"/>
  <c r="E7" i="3"/>
  <c r="E10" i="3"/>
  <c r="E12" i="3" s="1"/>
  <c r="E19" i="3" s="1"/>
  <c r="AA82" i="1"/>
  <c r="AA96" i="1" s="1"/>
  <c r="AA136" i="1"/>
  <c r="AM40" i="2"/>
  <c r="W10" i="1"/>
  <c r="W14" i="1"/>
  <c r="AL26" i="2"/>
  <c r="J19" i="4"/>
  <c r="AU100" i="1"/>
  <c r="AD22" i="1"/>
  <c r="AE22" i="1" s="1"/>
  <c r="AG22" i="1" s="1"/>
  <c r="AG21" i="1" s="1"/>
  <c r="AC21" i="1"/>
  <c r="V35" i="2"/>
  <c r="V31" i="2"/>
  <c r="AF25" i="2"/>
  <c r="AM36" i="1"/>
  <c r="V27" i="2"/>
  <c r="Z52" i="1"/>
  <c r="Z54" i="1" s="1"/>
  <c r="AA54" i="1" s="1"/>
  <c r="AE37" i="1"/>
  <c r="AF37" i="1" s="1"/>
  <c r="AF35" i="1" s="1"/>
  <c r="AF138" i="1" s="1"/>
  <c r="AF85" i="1" s="1"/>
  <c r="AD35" i="1"/>
  <c r="AB31" i="1"/>
  <c r="AC32" i="1"/>
  <c r="AD32" i="1" s="1"/>
  <c r="AJ32" i="2"/>
  <c r="AF37" i="2"/>
  <c r="AE34" i="2"/>
  <c r="AA34" i="2"/>
  <c r="AL36" i="2"/>
  <c r="AK36" i="2"/>
  <c r="AP86" i="1"/>
  <c r="AK172" i="1"/>
  <c r="AK177" i="1" s="1"/>
  <c r="I29" i="4" s="1"/>
  <c r="I49" i="4"/>
  <c r="Z31" i="2"/>
  <c r="AL34" i="2"/>
  <c r="G135" i="1"/>
  <c r="G58" i="1"/>
  <c r="G61" i="1" s="1"/>
  <c r="C10" i="4"/>
  <c r="C40" i="4" s="1"/>
  <c r="G57" i="1"/>
  <c r="C11" i="4"/>
  <c r="Z53" i="1"/>
  <c r="Z55" i="1" s="1"/>
  <c r="AA55" i="1" s="1"/>
  <c r="M57" i="1"/>
  <c r="M50" i="1"/>
  <c r="M58" i="1"/>
  <c r="L50" i="1"/>
  <c r="D11" i="4"/>
  <c r="D10" i="4"/>
  <c r="D40" i="4" s="1"/>
  <c r="L135" i="1"/>
  <c r="L58" i="1"/>
  <c r="L61" i="1" s="1"/>
  <c r="L57" i="1"/>
  <c r="AG31" i="2"/>
  <c r="AL32" i="2"/>
  <c r="P58" i="1"/>
  <c r="P50" i="1"/>
  <c r="P57" i="1"/>
  <c r="W43" i="2"/>
  <c r="AE26" i="2"/>
  <c r="AA26" i="2"/>
  <c r="AP113" i="1"/>
  <c r="I20" i="4"/>
  <c r="AK119" i="1"/>
  <c r="AL39" i="2"/>
  <c r="Y44" i="2"/>
  <c r="Y43" i="2" s="1"/>
  <c r="Y24" i="1" s="1"/>
  <c r="Z45" i="2"/>
  <c r="AL28" i="2"/>
  <c r="AA33" i="2"/>
  <c r="AA31" i="2"/>
  <c r="AU115" i="1"/>
  <c r="J51" i="4"/>
  <c r="AP152" i="1"/>
  <c r="AK74" i="1"/>
  <c r="AL24" i="2"/>
  <c r="AG23" i="2"/>
  <c r="AJ24" i="2"/>
  <c r="AK24" i="2" s="1"/>
  <c r="R50" i="1" l="1"/>
  <c r="R58" i="1"/>
  <c r="X14" i="1"/>
  <c r="X19" i="1" s="1"/>
  <c r="X20" i="1" s="1"/>
  <c r="AE31" i="2"/>
  <c r="Z6" i="2"/>
  <c r="Z13" i="2" s="1"/>
  <c r="AA28" i="1"/>
  <c r="AB28" i="1"/>
  <c r="Y16" i="2"/>
  <c r="Y9" i="2" s="1"/>
  <c r="W19" i="1"/>
  <c r="W20" i="1" s="1"/>
  <c r="F46" i="1"/>
  <c r="F48" i="1"/>
  <c r="F49" i="1"/>
  <c r="C48" i="1"/>
  <c r="AJ28" i="2"/>
  <c r="AK28" i="2" s="1"/>
  <c r="W9" i="2"/>
  <c r="Y10" i="1"/>
  <c r="AD34" i="1"/>
  <c r="AE34" i="1" s="1"/>
  <c r="AE33" i="1" s="1"/>
  <c r="AB27" i="1"/>
  <c r="G17" i="4"/>
  <c r="X11" i="2"/>
  <c r="X9" i="2" s="1"/>
  <c r="AC19" i="2"/>
  <c r="AC13" i="2"/>
  <c r="AC12" i="2"/>
  <c r="AC7" i="2"/>
  <c r="AC9" i="1"/>
  <c r="AC10" i="1" s="1"/>
  <c r="AC14" i="2"/>
  <c r="AC18" i="2"/>
  <c r="AD16" i="2"/>
  <c r="X26" i="1"/>
  <c r="AB7" i="2"/>
  <c r="AE23" i="2"/>
  <c r="AJ39" i="2"/>
  <c r="AK39" i="2" s="1"/>
  <c r="J46" i="1"/>
  <c r="J48" i="1"/>
  <c r="J49" i="1"/>
  <c r="O50" i="1" s="1"/>
  <c r="AD33" i="1"/>
  <c r="AB9" i="1"/>
  <c r="AB10" i="1" s="1"/>
  <c r="O57" i="1"/>
  <c r="O58" i="1"/>
  <c r="U43" i="2"/>
  <c r="V43" i="2" s="1"/>
  <c r="U9" i="1"/>
  <c r="U7" i="2"/>
  <c r="AC17" i="2"/>
  <c r="AD11" i="2"/>
  <c r="T50" i="1"/>
  <c r="U12" i="2"/>
  <c r="AC21" i="2"/>
  <c r="AB19" i="2"/>
  <c r="AB13" i="2"/>
  <c r="AB12" i="2"/>
  <c r="AB14" i="2"/>
  <c r="AB21" i="2"/>
  <c r="E49" i="1"/>
  <c r="E48" i="1"/>
  <c r="E46" i="1"/>
  <c r="X29" i="1"/>
  <c r="X39" i="1" s="1"/>
  <c r="S49" i="1"/>
  <c r="S48" i="1"/>
  <c r="S46" i="1"/>
  <c r="AM32" i="2"/>
  <c r="AH31" i="2"/>
  <c r="AH6" i="2" s="1"/>
  <c r="X23" i="1"/>
  <c r="AB18" i="2"/>
  <c r="U21" i="2"/>
  <c r="U17" i="2"/>
  <c r="U19" i="2"/>
  <c r="U14" i="2"/>
  <c r="V6" i="2"/>
  <c r="V45" i="2" s="1"/>
  <c r="U13" i="2"/>
  <c r="AU116" i="1"/>
  <c r="AU189" i="1" s="1"/>
  <c r="AP189" i="1"/>
  <c r="AE6" i="2"/>
  <c r="AE14" i="2" s="1"/>
  <c r="N57" i="1"/>
  <c r="N58" i="1"/>
  <c r="N50" i="1"/>
  <c r="AN31" i="2"/>
  <c r="AS32" i="2"/>
  <c r="AS31" i="2" s="1"/>
  <c r="E10" i="4"/>
  <c r="E40" i="4" s="1"/>
  <c r="Q57" i="1"/>
  <c r="E11" i="4"/>
  <c r="Q135" i="1"/>
  <c r="Q164" i="1" s="1"/>
  <c r="Q152" i="1" s="1"/>
  <c r="Q165" i="1" s="1"/>
  <c r="Q58" i="1"/>
  <c r="Q50" i="1"/>
  <c r="AD14" i="1"/>
  <c r="AD19" i="1" s="1"/>
  <c r="AD20" i="1" s="1"/>
  <c r="AD10" i="1"/>
  <c r="AM23" i="2"/>
  <c r="AR24" i="2"/>
  <c r="AR23" i="2" s="1"/>
  <c r="AO32" i="2"/>
  <c r="AB45" i="2"/>
  <c r="AC45" i="2" s="1"/>
  <c r="AD45" i="2" s="1"/>
  <c r="AK32" i="2"/>
  <c r="AP74" i="1"/>
  <c r="AU74" i="1" s="1"/>
  <c r="L164" i="1"/>
  <c r="L152" i="1" s="1"/>
  <c r="L165" i="1" s="1"/>
  <c r="AQ36" i="2"/>
  <c r="AP36" i="2"/>
  <c r="H50" i="4"/>
  <c r="AF33" i="2"/>
  <c r="AL31" i="2"/>
  <c r="AQ32" i="2"/>
  <c r="D12" i="4"/>
  <c r="D55" i="4" s="1"/>
  <c r="D41" i="4"/>
  <c r="AG34" i="1"/>
  <c r="AG37" i="1"/>
  <c r="AE35" i="1"/>
  <c r="AN36" i="1"/>
  <c r="AK25" i="2"/>
  <c r="AQ34" i="2"/>
  <c r="AE21" i="1"/>
  <c r="AQ26" i="2"/>
  <c r="AO24" i="2"/>
  <c r="AP24" i="2" s="1"/>
  <c r="Y23" i="1"/>
  <c r="Y26" i="1"/>
  <c r="Y25" i="1"/>
  <c r="Y29" i="1"/>
  <c r="AA27" i="2"/>
  <c r="AA23" i="2"/>
  <c r="AA6" i="2" s="1"/>
  <c r="AA13" i="2" s="1"/>
  <c r="C12" i="4"/>
  <c r="C55" i="4" s="1"/>
  <c r="C41" i="4"/>
  <c r="AU86" i="1"/>
  <c r="AP172" i="1"/>
  <c r="AP177" i="1" s="1"/>
  <c r="J29" i="4" s="1"/>
  <c r="J49" i="4"/>
  <c r="AO28" i="2"/>
  <c r="AP28" i="2" s="1"/>
  <c r="AA35" i="2"/>
  <c r="AC31" i="1"/>
  <c r="AE32" i="1"/>
  <c r="AB52" i="1"/>
  <c r="AB54" i="1" s="1"/>
  <c r="AA52" i="1"/>
  <c r="AQ28" i="2"/>
  <c r="G164" i="1"/>
  <c r="G152" i="1" s="1"/>
  <c r="G165" i="1" s="1"/>
  <c r="AU113" i="1"/>
  <c r="J20" i="4"/>
  <c r="AP119" i="1"/>
  <c r="AB53" i="1"/>
  <c r="AD21" i="1"/>
  <c r="Z19" i="2"/>
  <c r="Z44" i="2"/>
  <c r="Z7" i="2"/>
  <c r="Z9" i="1"/>
  <c r="Z17" i="2"/>
  <c r="Z12" i="2"/>
  <c r="AG6" i="2"/>
  <c r="Z18" i="2"/>
  <c r="AJ34" i="2"/>
  <c r="AF34" i="2"/>
  <c r="AF31" i="2" s="1"/>
  <c r="AI9" i="1"/>
  <c r="AI7" i="2"/>
  <c r="AI12" i="2"/>
  <c r="AI18" i="2"/>
  <c r="AI17" i="2"/>
  <c r="AI19" i="2"/>
  <c r="AI14" i="2"/>
  <c r="AI13" i="2"/>
  <c r="AH22" i="1"/>
  <c r="K19" i="4"/>
  <c r="AN40" i="2"/>
  <c r="AM39" i="2"/>
  <c r="AF40" i="2"/>
  <c r="K51" i="4"/>
  <c r="AU152" i="1"/>
  <c r="AK29" i="2"/>
  <c r="AJ26" i="2"/>
  <c r="AF26" i="2"/>
  <c r="AD31" i="1"/>
  <c r="AL23" i="2"/>
  <c r="AQ24" i="2"/>
  <c r="W24" i="1"/>
  <c r="W26" i="1" s="1"/>
  <c r="AK37" i="2"/>
  <c r="Z14" i="2" l="1"/>
  <c r="Z21" i="2"/>
  <c r="AC28" i="1"/>
  <c r="AD28" i="1" s="1"/>
  <c r="AH34" i="1"/>
  <c r="V9" i="1"/>
  <c r="F6" i="4" s="1"/>
  <c r="U14" i="1"/>
  <c r="V14" i="1" s="1"/>
  <c r="F58" i="1"/>
  <c r="F57" i="1"/>
  <c r="K50" i="1"/>
  <c r="C58" i="1"/>
  <c r="C57" i="1"/>
  <c r="AC14" i="1"/>
  <c r="AC19" i="1" s="1"/>
  <c r="AC20" i="1" s="1"/>
  <c r="AF33" i="1"/>
  <c r="AF34" i="1" s="1"/>
  <c r="AE13" i="2"/>
  <c r="AE17" i="2"/>
  <c r="X30" i="1"/>
  <c r="AB16" i="2"/>
  <c r="AE18" i="2"/>
  <c r="J57" i="1"/>
  <c r="J58" i="1"/>
  <c r="U24" i="1"/>
  <c r="V24" i="1" s="1"/>
  <c r="V29" i="1" s="1"/>
  <c r="V30" i="1" s="1"/>
  <c r="AD9" i="2"/>
  <c r="AC16" i="2"/>
  <c r="AC11" i="2"/>
  <c r="AE19" i="2"/>
  <c r="AE9" i="1"/>
  <c r="AE10" i="1" s="1"/>
  <c r="AE12" i="2"/>
  <c r="AE7" i="2"/>
  <c r="U16" i="2"/>
  <c r="AH9" i="1"/>
  <c r="AH14" i="1" s="1"/>
  <c r="AH19" i="1" s="1"/>
  <c r="AH20" i="1" s="1"/>
  <c r="AH14" i="2"/>
  <c r="AH7" i="2"/>
  <c r="AH17" i="2"/>
  <c r="AH21" i="2"/>
  <c r="AH19" i="2"/>
  <c r="AH12" i="2"/>
  <c r="AH18" i="2"/>
  <c r="AH13" i="2"/>
  <c r="AB11" i="2"/>
  <c r="S58" i="1"/>
  <c r="S57" i="1"/>
  <c r="AB14" i="1"/>
  <c r="AB19" i="1" s="1"/>
  <c r="AB20" i="1" s="1"/>
  <c r="U10" i="1"/>
  <c r="U11" i="2"/>
  <c r="V21" i="2"/>
  <c r="V14" i="2"/>
  <c r="V12" i="2"/>
  <c r="V7" i="2"/>
  <c r="V13" i="2"/>
  <c r="V19" i="2"/>
  <c r="V17" i="2"/>
  <c r="V18" i="2"/>
  <c r="S50" i="1"/>
  <c r="J50" i="1"/>
  <c r="E57" i="1"/>
  <c r="E58" i="1"/>
  <c r="AM31" i="2"/>
  <c r="AM6" i="2" s="1"/>
  <c r="AM21" i="2" s="1"/>
  <c r="AR32" i="2"/>
  <c r="AR31" i="2" s="1"/>
  <c r="AA18" i="2"/>
  <c r="Z16" i="2"/>
  <c r="V71" i="1"/>
  <c r="E41" i="4"/>
  <c r="E12" i="4"/>
  <c r="E55" i="4" s="1"/>
  <c r="V73" i="1"/>
  <c r="AE21" i="2"/>
  <c r="E27" i="4"/>
  <c r="Q196" i="1"/>
  <c r="AL6" i="2"/>
  <c r="AL14" i="2" s="1"/>
  <c r="V105" i="1"/>
  <c r="AI22" i="1"/>
  <c r="AJ22" i="1" s="1"/>
  <c r="AD44" i="2"/>
  <c r="AD43" i="2" s="1"/>
  <c r="AD24" i="1" s="1"/>
  <c r="G196" i="1"/>
  <c r="C27" i="4"/>
  <c r="AG7" i="2"/>
  <c r="AG9" i="1"/>
  <c r="AG14" i="2"/>
  <c r="AG19" i="2"/>
  <c r="AG21" i="2"/>
  <c r="AG12" i="2"/>
  <c r="AG17" i="2"/>
  <c r="AG13" i="2"/>
  <c r="AG18" i="2"/>
  <c r="AK40" i="2"/>
  <c r="AF35" i="2"/>
  <c r="Z11" i="2"/>
  <c r="AC52" i="1"/>
  <c r="AA7" i="2"/>
  <c r="AA12" i="2"/>
  <c r="AA21" i="2"/>
  <c r="AA19" i="2"/>
  <c r="AA14" i="2"/>
  <c r="AA17" i="2"/>
  <c r="AT24" i="2"/>
  <c r="AU24" i="2" s="1"/>
  <c r="U26" i="1"/>
  <c r="AU36" i="2"/>
  <c r="D27" i="4"/>
  <c r="L196" i="1"/>
  <c r="AG33" i="1"/>
  <c r="AI34" i="1"/>
  <c r="AJ34" i="1" s="1"/>
  <c r="X41" i="1"/>
  <c r="AO34" i="2"/>
  <c r="AK34" i="2"/>
  <c r="AK31" i="2" s="1"/>
  <c r="AP25" i="2"/>
  <c r="K20" i="4"/>
  <c r="AU119" i="1"/>
  <c r="Y30" i="1"/>
  <c r="Y39" i="1"/>
  <c r="AT32" i="2"/>
  <c r="Z14" i="1"/>
  <c r="AA14" i="1" s="1"/>
  <c r="Z10" i="1"/>
  <c r="AA9" i="1"/>
  <c r="AP29" i="2"/>
  <c r="AK33" i="2"/>
  <c r="AI16" i="2"/>
  <c r="AI11" i="2"/>
  <c r="AH21" i="1"/>
  <c r="AQ31" i="2"/>
  <c r="AB44" i="2"/>
  <c r="AH33" i="1"/>
  <c r="AO40" i="2"/>
  <c r="AO39" i="2" s="1"/>
  <c r="AN39" i="2"/>
  <c r="AC44" i="2"/>
  <c r="AC43" i="2" s="1"/>
  <c r="AC24" i="1" s="1"/>
  <c r="AO36" i="1"/>
  <c r="AP36" i="1" s="1"/>
  <c r="AP32" i="2"/>
  <c r="AE45" i="2"/>
  <c r="AG45" i="2" s="1"/>
  <c r="AG44" i="2" s="1"/>
  <c r="AO26" i="2"/>
  <c r="AK26" i="2"/>
  <c r="AF21" i="1"/>
  <c r="AF22" i="1" s="1"/>
  <c r="AE31" i="1"/>
  <c r="AF31" i="1" s="1"/>
  <c r="AF32" i="1" s="1"/>
  <c r="AJ23" i="2"/>
  <c r="AQ23" i="2"/>
  <c r="AG32" i="1"/>
  <c r="Z43" i="2"/>
  <c r="AA44" i="2"/>
  <c r="AA45" i="2" s="1"/>
  <c r="AC53" i="1"/>
  <c r="AC55" i="1"/>
  <c r="W25" i="1"/>
  <c r="W23" i="1"/>
  <c r="W29" i="1"/>
  <c r="AF27" i="2"/>
  <c r="AF23" i="2"/>
  <c r="AF6" i="2" s="1"/>
  <c r="AF13" i="2" s="1"/>
  <c r="AI14" i="1"/>
  <c r="AI19" i="1" s="1"/>
  <c r="AI20" i="1" s="1"/>
  <c r="AI10" i="1"/>
  <c r="AB55" i="1"/>
  <c r="G45" i="4"/>
  <c r="G46" i="4" s="1"/>
  <c r="AA53" i="1"/>
  <c r="AT28" i="2"/>
  <c r="AU28" i="2" s="1"/>
  <c r="AU172" i="1"/>
  <c r="AU177" i="1" s="1"/>
  <c r="K29" i="4" s="1"/>
  <c r="K49" i="4"/>
  <c r="AH37" i="1"/>
  <c r="AG35" i="1"/>
  <c r="AP37" i="2"/>
  <c r="AJ31" i="2"/>
  <c r="F36" i="4" l="1"/>
  <c r="AA15" i="1"/>
  <c r="V10" i="1"/>
  <c r="AD27" i="1"/>
  <c r="AD29" i="1" s="1"/>
  <c r="AC27" i="1"/>
  <c r="AE28" i="1"/>
  <c r="AE27" i="1" s="1"/>
  <c r="F4" i="3"/>
  <c r="F9" i="3" s="1"/>
  <c r="U9" i="2"/>
  <c r="AE11" i="2"/>
  <c r="AF9" i="1"/>
  <c r="AE14" i="1"/>
  <c r="AB9" i="2"/>
  <c r="AE16" i="2"/>
  <c r="U25" i="1"/>
  <c r="U29" i="1"/>
  <c r="U39" i="1" s="1"/>
  <c r="Z9" i="2"/>
  <c r="AJ6" i="2"/>
  <c r="AJ13" i="2" s="1"/>
  <c r="V11" i="2"/>
  <c r="AC9" i="2"/>
  <c r="AA16" i="2"/>
  <c r="AH10" i="1"/>
  <c r="AI9" i="2"/>
  <c r="AG16" i="2"/>
  <c r="U19" i="1"/>
  <c r="U20" i="1" s="1"/>
  <c r="AI21" i="1"/>
  <c r="AL17" i="2"/>
  <c r="AF14" i="1"/>
  <c r="AH16" i="2"/>
  <c r="AH11" i="2"/>
  <c r="AG11" i="2"/>
  <c r="V16" i="2"/>
  <c r="AE19" i="1"/>
  <c r="AE20" i="1" s="1"/>
  <c r="AL19" i="2"/>
  <c r="AL7" i="2"/>
  <c r="AL13" i="2"/>
  <c r="AL12" i="2"/>
  <c r="AL18" i="2"/>
  <c r="AL21" i="2"/>
  <c r="AL9" i="1"/>
  <c r="AL10" i="1" s="1"/>
  <c r="AP39" i="2"/>
  <c r="AP40" i="2" s="1"/>
  <c r="AJ21" i="1"/>
  <c r="AL22" i="1"/>
  <c r="AM22" i="1" s="1"/>
  <c r="AG43" i="2"/>
  <c r="AJ33" i="1"/>
  <c r="AL34" i="1"/>
  <c r="AM34" i="1" s="1"/>
  <c r="AT26" i="2"/>
  <c r="AT23" i="2" s="1"/>
  <c r="AP26" i="2"/>
  <c r="AA69" i="1"/>
  <c r="AA101" i="1"/>
  <c r="AU29" i="2"/>
  <c r="V25" i="1"/>
  <c r="V26" i="1"/>
  <c r="F8" i="4"/>
  <c r="F38" i="4" s="1"/>
  <c r="AO23" i="2"/>
  <c r="AD52" i="1"/>
  <c r="AD54" i="1" s="1"/>
  <c r="AT34" i="2"/>
  <c r="AT31" i="2" s="1"/>
  <c r="AP34" i="2"/>
  <c r="AL21" i="1"/>
  <c r="AG10" i="1"/>
  <c r="AG14" i="1"/>
  <c r="AG19" i="1" s="1"/>
  <c r="AG20" i="1" s="1"/>
  <c r="AK27" i="2"/>
  <c r="AK23" i="2"/>
  <c r="AK6" i="2" s="1"/>
  <c r="AK18" i="2" s="1"/>
  <c r="AO31" i="2"/>
  <c r="AG31" i="1"/>
  <c r="AP33" i="2"/>
  <c r="AF7" i="2"/>
  <c r="AF14" i="2"/>
  <c r="AF12" i="2"/>
  <c r="AF19" i="2"/>
  <c r="AF17" i="2"/>
  <c r="AF21" i="2"/>
  <c r="AU25" i="2"/>
  <c r="AQ36" i="1"/>
  <c r="AB43" i="2"/>
  <c r="AA105" i="1"/>
  <c r="AA10" i="1"/>
  <c r="G6" i="4"/>
  <c r="AA19" i="1"/>
  <c r="AA73" i="1"/>
  <c r="AA71" i="1"/>
  <c r="Y41" i="1"/>
  <c r="X43" i="1"/>
  <c r="X40" i="1" s="1"/>
  <c r="X45" i="1" s="1"/>
  <c r="AF18" i="2"/>
  <c r="AM21" i="1"/>
  <c r="AK21" i="1"/>
  <c r="AK22" i="1" s="1"/>
  <c r="AI33" i="1"/>
  <c r="AD53" i="1"/>
  <c r="AD55" i="1" s="1"/>
  <c r="AH45" i="2"/>
  <c r="AI45" i="2" s="1"/>
  <c r="Z19" i="1"/>
  <c r="Z20" i="1" s="1"/>
  <c r="AM17" i="2"/>
  <c r="AM13" i="2"/>
  <c r="AM14" i="2"/>
  <c r="AM9" i="1"/>
  <c r="AM18" i="2"/>
  <c r="AM7" i="2"/>
  <c r="AM19" i="2"/>
  <c r="AM12" i="2"/>
  <c r="AA11" i="2"/>
  <c r="AD26" i="1"/>
  <c r="AD23" i="1"/>
  <c r="AD25" i="1"/>
  <c r="AI37" i="1"/>
  <c r="AH35" i="1"/>
  <c r="AC29" i="1"/>
  <c r="AC23" i="1"/>
  <c r="AC26" i="1"/>
  <c r="AC25" i="1"/>
  <c r="H6" i="4"/>
  <c r="AF105" i="1"/>
  <c r="AF71" i="1"/>
  <c r="AF10" i="1"/>
  <c r="AF73" i="1"/>
  <c r="AN6" i="2"/>
  <c r="AU37" i="2"/>
  <c r="AH32" i="1"/>
  <c r="W30" i="1"/>
  <c r="W39" i="1"/>
  <c r="AE44" i="2"/>
  <c r="AE43" i="2" s="1"/>
  <c r="AE24" i="1" s="1"/>
  <c r="Z24" i="1"/>
  <c r="AA43" i="2"/>
  <c r="AU32" i="2"/>
  <c r="AK35" i="2"/>
  <c r="AC54" i="1"/>
  <c r="AQ40" i="2"/>
  <c r="AJ14" i="2" l="1"/>
  <c r="AE9" i="2"/>
  <c r="AJ7" i="2"/>
  <c r="AJ18" i="2"/>
  <c r="AJ9" i="1"/>
  <c r="AF19" i="1"/>
  <c r="AF20" i="1" s="1"/>
  <c r="F18" i="3"/>
  <c r="AF27" i="1"/>
  <c r="F5" i="3"/>
  <c r="AG28" i="1"/>
  <c r="AL14" i="1"/>
  <c r="AL19" i="1" s="1"/>
  <c r="AL20" i="1" s="1"/>
  <c r="AJ21" i="2"/>
  <c r="AJ17" i="2"/>
  <c r="AJ16" i="2" s="1"/>
  <c r="AG9" i="2"/>
  <c r="AJ12" i="2"/>
  <c r="AJ11" i="2" s="1"/>
  <c r="AJ19" i="2"/>
  <c r="U30" i="1"/>
  <c r="V9" i="2"/>
  <c r="AO6" i="2"/>
  <c r="AO18" i="2" s="1"/>
  <c r="AA9" i="2"/>
  <c r="AF15" i="1"/>
  <c r="AH9" i="2"/>
  <c r="AF69" i="1"/>
  <c r="H15" i="3" s="1"/>
  <c r="AF101" i="1"/>
  <c r="AF111" i="1" s="1"/>
  <c r="AF121" i="1" s="1"/>
  <c r="H21" i="4" s="1"/>
  <c r="AL16" i="2"/>
  <c r="AF11" i="2"/>
  <c r="AN22" i="1"/>
  <c r="AK33" i="1"/>
  <c r="AK34" i="1" s="1"/>
  <c r="U23" i="1"/>
  <c r="V23" i="1" s="1"/>
  <c r="AL11" i="2"/>
  <c r="V69" i="1"/>
  <c r="V101" i="1"/>
  <c r="V111" i="1" s="1"/>
  <c r="V121" i="1" s="1"/>
  <c r="F21" i="4" s="1"/>
  <c r="V15" i="1"/>
  <c r="V19" i="1"/>
  <c r="V20" i="1" s="1"/>
  <c r="AA111" i="1"/>
  <c r="AA121" i="1" s="1"/>
  <c r="G21" i="4" s="1"/>
  <c r="AO21" i="2"/>
  <c r="AI44" i="2"/>
  <c r="AI43" i="2" s="1"/>
  <c r="AI24" i="1" s="1"/>
  <c r="Y43" i="1"/>
  <c r="Y40" i="1" s="1"/>
  <c r="Y45" i="1" s="1"/>
  <c r="AB24" i="1"/>
  <c r="AF43" i="2"/>
  <c r="U41" i="1"/>
  <c r="AO9" i="1"/>
  <c r="AO7" i="2"/>
  <c r="AO19" i="2"/>
  <c r="AO12" i="2"/>
  <c r="AO17" i="2"/>
  <c r="AO14" i="2"/>
  <c r="AO13" i="2"/>
  <c r="AU26" i="2"/>
  <c r="AJ45" i="2"/>
  <c r="AL45" i="2" s="1"/>
  <c r="AC39" i="1"/>
  <c r="AC30" i="1"/>
  <c r="AE53" i="1"/>
  <c r="AE55" i="1" s="1"/>
  <c r="AF55" i="1" s="1"/>
  <c r="AR36" i="1"/>
  <c r="AO22" i="1"/>
  <c r="AU34" i="2"/>
  <c r="AM33" i="1"/>
  <c r="AJ14" i="1"/>
  <c r="AK14" i="1" s="1"/>
  <c r="AJ19" i="1"/>
  <c r="AJ20" i="1" s="1"/>
  <c r="AJ10" i="1"/>
  <c r="AK9" i="1"/>
  <c r="V39" i="1"/>
  <c r="F9" i="4"/>
  <c r="AL33" i="1"/>
  <c r="AE26" i="1"/>
  <c r="AE23" i="1"/>
  <c r="AE25" i="1"/>
  <c r="AE29" i="1"/>
  <c r="AE39" i="1" s="1"/>
  <c r="AE41" i="1" s="1"/>
  <c r="AN19" i="2"/>
  <c r="AN7" i="2"/>
  <c r="AN9" i="1"/>
  <c r="AN12" i="2"/>
  <c r="AN18" i="2"/>
  <c r="AN17" i="2"/>
  <c r="AN14" i="2"/>
  <c r="AN13" i="2"/>
  <c r="AJ37" i="1"/>
  <c r="AI35" i="1"/>
  <c r="AM14" i="1"/>
  <c r="AM19" i="1" s="1"/>
  <c r="AM20" i="1" s="1"/>
  <c r="AM10" i="1"/>
  <c r="G36" i="4"/>
  <c r="G4" i="3"/>
  <c r="AP35" i="2"/>
  <c r="X46" i="1"/>
  <c r="X47" i="1"/>
  <c r="X49" i="1" s="1"/>
  <c r="AK7" i="2"/>
  <c r="AK14" i="2"/>
  <c r="AK12" i="2"/>
  <c r="AK19" i="2"/>
  <c r="AK21" i="2"/>
  <c r="AK17" i="2"/>
  <c r="AN21" i="1"/>
  <c r="W41" i="1"/>
  <c r="Z25" i="1"/>
  <c r="Z26" i="1"/>
  <c r="Z29" i="1"/>
  <c r="Z23" i="1"/>
  <c r="AA23" i="1" s="1"/>
  <c r="AA24" i="1"/>
  <c r="AR40" i="2"/>
  <c r="AQ39" i="2"/>
  <c r="H36" i="4"/>
  <c r="H4" i="3"/>
  <c r="AN34" i="1"/>
  <c r="AP31" i="2"/>
  <c r="AK13" i="2"/>
  <c r="G15" i="3"/>
  <c r="AG24" i="1"/>
  <c r="AU33" i="2"/>
  <c r="AH44" i="2"/>
  <c r="AA20" i="1"/>
  <c r="G7" i="4"/>
  <c r="G37" i="4" s="1"/>
  <c r="AN21" i="2"/>
  <c r="AD39" i="1"/>
  <c r="AD30" i="1"/>
  <c r="AH31" i="1"/>
  <c r="AM11" i="2"/>
  <c r="AM16" i="2"/>
  <c r="AF44" i="2"/>
  <c r="AF45" i="2" s="1"/>
  <c r="AF16" i="2"/>
  <c r="AI32" i="1"/>
  <c r="AE52" i="1"/>
  <c r="AP27" i="2"/>
  <c r="AP23" i="2"/>
  <c r="H7" i="4" l="1"/>
  <c r="H37" i="4" s="1"/>
  <c r="AH28" i="1"/>
  <c r="AF82" i="1"/>
  <c r="AF28" i="1"/>
  <c r="AF136" i="1"/>
  <c r="H8" i="3"/>
  <c r="AF9" i="2"/>
  <c r="AJ9" i="2"/>
  <c r="AF139" i="1"/>
  <c r="AL9" i="2"/>
  <c r="AP6" i="2"/>
  <c r="AP7" i="2" s="1"/>
  <c r="AK16" i="2"/>
  <c r="AO16" i="2"/>
  <c r="AA139" i="1"/>
  <c r="F15" i="3"/>
  <c r="G14" i="3" s="1"/>
  <c r="V139" i="1"/>
  <c r="F7" i="4"/>
  <c r="F37" i="4" s="1"/>
  <c r="AK11" i="2"/>
  <c r="AN16" i="2"/>
  <c r="Y46" i="1"/>
  <c r="Y47" i="1"/>
  <c r="Y49" i="1" s="1"/>
  <c r="AN33" i="1"/>
  <c r="AK69" i="1"/>
  <c r="AK101" i="1"/>
  <c r="AK15" i="1"/>
  <c r="AU35" i="2"/>
  <c r="AL44" i="2"/>
  <c r="AI31" i="1"/>
  <c r="AK73" i="1"/>
  <c r="AK71" i="1"/>
  <c r="AK105" i="1"/>
  <c r="AK10" i="1"/>
  <c r="I6" i="4"/>
  <c r="AK19" i="1"/>
  <c r="AO21" i="1"/>
  <c r="AP21" i="1" s="1"/>
  <c r="AP22" i="1" s="1"/>
  <c r="AC41" i="1"/>
  <c r="AO14" i="1"/>
  <c r="AO19" i="1" s="1"/>
  <c r="AO20" i="1" s="1"/>
  <c r="AO10" i="1"/>
  <c r="AF52" i="1"/>
  <c r="AG52" i="1"/>
  <c r="AG54" i="1" s="1"/>
  <c r="W43" i="1"/>
  <c r="W40" i="1" s="1"/>
  <c r="W45" i="1" s="1"/>
  <c r="AN11" i="2"/>
  <c r="U43" i="1"/>
  <c r="V43" i="1" s="1"/>
  <c r="V41" i="1"/>
  <c r="AI23" i="1"/>
  <c r="AI25" i="1"/>
  <c r="AI26" i="1"/>
  <c r="AE54" i="1"/>
  <c r="AF54" i="1" s="1"/>
  <c r="H14" i="3"/>
  <c r="H16" i="3"/>
  <c r="AG26" i="1"/>
  <c r="AG25" i="1"/>
  <c r="AG23" i="1"/>
  <c r="AO34" i="1"/>
  <c r="AQ34" i="1" s="1"/>
  <c r="AQ33" i="1" s="1"/>
  <c r="AN10" i="1"/>
  <c r="AN14" i="1"/>
  <c r="AN19" i="1" s="1"/>
  <c r="AN20" i="1" s="1"/>
  <c r="AP9" i="1"/>
  <c r="AS36" i="1"/>
  <c r="AS40" i="2"/>
  <c r="AR39" i="2"/>
  <c r="AA26" i="1"/>
  <c r="AA25" i="1"/>
  <c r="G8" i="4"/>
  <c r="G38" i="4" s="1"/>
  <c r="AA29" i="1"/>
  <c r="AL37" i="1"/>
  <c r="AJ35" i="1"/>
  <c r="AJ44" i="2"/>
  <c r="AJ43" i="2" s="1"/>
  <c r="AJ24" i="1" s="1"/>
  <c r="AQ22" i="1"/>
  <c r="AR22" i="1" s="1"/>
  <c r="AR21" i="1" s="1"/>
  <c r="H5" i="3"/>
  <c r="H18" i="3"/>
  <c r="H9" i="3"/>
  <c r="AQ6" i="2"/>
  <c r="AQ21" i="2" s="1"/>
  <c r="AH43" i="2"/>
  <c r="G18" i="3"/>
  <c r="G5" i="3"/>
  <c r="G9" i="3"/>
  <c r="AM9" i="2"/>
  <c r="AM45" i="2"/>
  <c r="G16" i="3"/>
  <c r="X58" i="1"/>
  <c r="X50" i="1"/>
  <c r="X57" i="1"/>
  <c r="F39" i="4"/>
  <c r="F6" i="3"/>
  <c r="AU27" i="2"/>
  <c r="AU23" i="2"/>
  <c r="AO11" i="2"/>
  <c r="AK37" i="1"/>
  <c r="AK35" i="1" s="1"/>
  <c r="AK138" i="1" s="1"/>
  <c r="AK85" i="1" s="1"/>
  <c r="AD41" i="1"/>
  <c r="AJ32" i="1"/>
  <c r="AU31" i="2"/>
  <c r="Z30" i="1"/>
  <c r="Z39" i="1"/>
  <c r="AE30" i="1"/>
  <c r="AG53" i="1"/>
  <c r="AB26" i="1"/>
  <c r="AB23" i="1"/>
  <c r="AF23" i="1" s="1"/>
  <c r="AB25" i="1"/>
  <c r="AB29" i="1"/>
  <c r="AF24" i="1"/>
  <c r="AF96" i="1" l="1"/>
  <c r="H17" i="4"/>
  <c r="AH27" i="1"/>
  <c r="AG27" i="1"/>
  <c r="AG29" i="1" s="1"/>
  <c r="AG39" i="1" s="1"/>
  <c r="AI28" i="1"/>
  <c r="AP17" i="2"/>
  <c r="AP21" i="2"/>
  <c r="AO9" i="2"/>
  <c r="AP19" i="2"/>
  <c r="AP14" i="2"/>
  <c r="AP12" i="2"/>
  <c r="AK9" i="2"/>
  <c r="AP13" i="2"/>
  <c r="AP18" i="2"/>
  <c r="AK44" i="2"/>
  <c r="AK45" i="2" s="1"/>
  <c r="AN9" i="2"/>
  <c r="F16" i="3"/>
  <c r="F14" i="3"/>
  <c r="AP14" i="1"/>
  <c r="AP69" i="1" s="1"/>
  <c r="Y50" i="1"/>
  <c r="Y58" i="1"/>
  <c r="Y57" i="1"/>
  <c r="AH53" i="1"/>
  <c r="AM44" i="2"/>
  <c r="AM43" i="2" s="1"/>
  <c r="AM24" i="1" s="1"/>
  <c r="AQ9" i="1"/>
  <c r="AQ7" i="2"/>
  <c r="AQ13" i="2"/>
  <c r="AQ19" i="2"/>
  <c r="AQ14" i="2"/>
  <c r="AQ17" i="2"/>
  <c r="AQ12" i="2"/>
  <c r="AQ18" i="2"/>
  <c r="AT40" i="2"/>
  <c r="AT39" i="2" s="1"/>
  <c r="AS39" i="2"/>
  <c r="AO33" i="1"/>
  <c r="AP33" i="1" s="1"/>
  <c r="AP34" i="1" s="1"/>
  <c r="AR34" i="1"/>
  <c r="AR33" i="1" s="1"/>
  <c r="H45" i="4"/>
  <c r="H46" i="4" s="1"/>
  <c r="AF53" i="1"/>
  <c r="I15" i="3"/>
  <c r="AK139" i="1"/>
  <c r="I7" i="4"/>
  <c r="I37" i="4" s="1"/>
  <c r="AK20" i="1"/>
  <c r="AM37" i="1"/>
  <c r="AL35" i="1"/>
  <c r="AT36" i="1"/>
  <c r="AU36" i="1" s="1"/>
  <c r="I36" i="4"/>
  <c r="I4" i="3"/>
  <c r="AL43" i="2"/>
  <c r="AA30" i="1"/>
  <c r="AA39" i="1"/>
  <c r="G9" i="4"/>
  <c r="W47" i="1"/>
  <c r="W49" i="1" s="1"/>
  <c r="W46" i="1"/>
  <c r="AJ31" i="1"/>
  <c r="AK31" i="1" s="1"/>
  <c r="AK32" i="1" s="1"/>
  <c r="AP71" i="1"/>
  <c r="AP105" i="1"/>
  <c r="AP73" i="1"/>
  <c r="AP10" i="1"/>
  <c r="AP19" i="1"/>
  <c r="J6" i="4"/>
  <c r="AG55" i="1"/>
  <c r="V42" i="1"/>
  <c r="F11" i="3" s="1"/>
  <c r="F10" i="3" s="1"/>
  <c r="F12" i="3" s="1"/>
  <c r="V40" i="1"/>
  <c r="V45" i="1" s="1"/>
  <c r="F7" i="3"/>
  <c r="AB39" i="1"/>
  <c r="AB30" i="1"/>
  <c r="AD43" i="1"/>
  <c r="AD40" i="1" s="1"/>
  <c r="AD45" i="1" s="1"/>
  <c r="Z41" i="1"/>
  <c r="AQ21" i="1"/>
  <c r="AS22" i="1"/>
  <c r="AS21" i="1" s="1"/>
  <c r="U40" i="1"/>
  <c r="U45" i="1" s="1"/>
  <c r="AC43" i="1"/>
  <c r="AC40" i="1" s="1"/>
  <c r="AC45" i="1" s="1"/>
  <c r="AF26" i="1"/>
  <c r="AF25" i="1"/>
  <c r="H8" i="4"/>
  <c r="H38" i="4" s="1"/>
  <c r="AF29" i="1"/>
  <c r="I50" i="4"/>
  <c r="AH24" i="1"/>
  <c r="AK43" i="2"/>
  <c r="AJ26" i="1"/>
  <c r="AJ23" i="1"/>
  <c r="AJ25" i="1"/>
  <c r="AR6" i="2"/>
  <c r="AR21" i="2" s="1"/>
  <c r="V44" i="1"/>
  <c r="AH52" i="1"/>
  <c r="AH54" i="1" s="1"/>
  <c r="AL32" i="1"/>
  <c r="AM32" i="1" s="1"/>
  <c r="AK111" i="1"/>
  <c r="AK121" i="1" s="1"/>
  <c r="AN45" i="2"/>
  <c r="AP16" i="2" l="1"/>
  <c r="AG30" i="1"/>
  <c r="AI27" i="1"/>
  <c r="AI29" i="1" s="1"/>
  <c r="AJ28" i="1"/>
  <c r="AS34" i="1"/>
  <c r="AS33" i="1" s="1"/>
  <c r="AP15" i="1"/>
  <c r="F19" i="3"/>
  <c r="AP11" i="2"/>
  <c r="AP9" i="2" s="1"/>
  <c r="AP101" i="1"/>
  <c r="AP139" i="1" s="1"/>
  <c r="AM31" i="1"/>
  <c r="AH25" i="1"/>
  <c r="AH23" i="1"/>
  <c r="AK23" i="1" s="1"/>
  <c r="AH26" i="1"/>
  <c r="AH29" i="1"/>
  <c r="AK24" i="1"/>
  <c r="Z43" i="1"/>
  <c r="AA43" i="1" s="1"/>
  <c r="AA41" i="1"/>
  <c r="AA42" i="1" s="1"/>
  <c r="AC46" i="1"/>
  <c r="AC47" i="1"/>
  <c r="AC49" i="1" s="1"/>
  <c r="AN37" i="1"/>
  <c r="AM35" i="1"/>
  <c r="AN44" i="2"/>
  <c r="AE43" i="1"/>
  <c r="V46" i="1"/>
  <c r="AL24" i="1"/>
  <c r="AT6" i="2"/>
  <c r="AT21" i="2" s="1"/>
  <c r="I21" i="4"/>
  <c r="H9" i="4"/>
  <c r="AF30" i="1"/>
  <c r="AF39" i="1"/>
  <c r="U46" i="1"/>
  <c r="U47" i="1"/>
  <c r="V47" i="1" s="1"/>
  <c r="W58" i="1"/>
  <c r="W50" i="1"/>
  <c r="W57" i="1"/>
  <c r="I18" i="3"/>
  <c r="I5" i="3"/>
  <c r="I16" i="3"/>
  <c r="I14" i="3"/>
  <c r="AO45" i="2"/>
  <c r="AI53" i="1"/>
  <c r="AI55" i="1" s="1"/>
  <c r="AB41" i="1"/>
  <c r="AQ14" i="1"/>
  <c r="AQ19" i="1" s="1"/>
  <c r="AQ20" i="1" s="1"/>
  <c r="AQ10" i="1"/>
  <c r="AR14" i="2"/>
  <c r="AR19" i="2"/>
  <c r="AR9" i="1"/>
  <c r="AR13" i="2"/>
  <c r="AR7" i="2"/>
  <c r="AR17" i="2"/>
  <c r="AR18" i="2"/>
  <c r="AR12" i="2"/>
  <c r="G6" i="3"/>
  <c r="G39" i="4"/>
  <c r="AQ11" i="2"/>
  <c r="AM23" i="1"/>
  <c r="AM26" i="1"/>
  <c r="AM25" i="1"/>
  <c r="AP20" i="1"/>
  <c r="J7" i="4"/>
  <c r="J37" i="4" s="1"/>
  <c r="AS6" i="2"/>
  <c r="AU39" i="2"/>
  <c r="AG41" i="1"/>
  <c r="AQ16" i="2"/>
  <c r="AT34" i="1"/>
  <c r="AT33" i="1" s="1"/>
  <c r="AU33" i="1" s="1"/>
  <c r="AU34" i="1" s="1"/>
  <c r="AD46" i="1"/>
  <c r="AD47" i="1"/>
  <c r="AD49" i="1" s="1"/>
  <c r="AL31" i="1"/>
  <c r="AN32" i="1"/>
  <c r="AO32" i="1" s="1"/>
  <c r="AI52" i="1"/>
  <c r="AI54" i="1" s="1"/>
  <c r="J36" i="4"/>
  <c r="J4" i="3"/>
  <c r="AH55" i="1"/>
  <c r="AT22" i="1"/>
  <c r="AT21" i="1" s="1"/>
  <c r="AU21" i="1" s="1"/>
  <c r="AU22" i="1" s="1"/>
  <c r="AJ27" i="1" l="1"/>
  <c r="AL28" i="1"/>
  <c r="AI39" i="1"/>
  <c r="AI41" i="1" s="1"/>
  <c r="AI30" i="1"/>
  <c r="AP111" i="1"/>
  <c r="AP121" i="1" s="1"/>
  <c r="J21" i="4" s="1"/>
  <c r="AE40" i="1"/>
  <c r="AE45" i="1" s="1"/>
  <c r="J15" i="3"/>
  <c r="J14" i="3" s="1"/>
  <c r="AO31" i="1"/>
  <c r="AD57" i="1"/>
  <c r="AD50" i="1"/>
  <c r="AD58" i="1"/>
  <c r="V137" i="1"/>
  <c r="V48" i="1"/>
  <c r="V125" i="1"/>
  <c r="J18" i="3"/>
  <c r="J5" i="3"/>
  <c r="AR11" i="2"/>
  <c r="AN43" i="2"/>
  <c r="Z40" i="1"/>
  <c r="Z45" i="1" s="1"/>
  <c r="AB43" i="1"/>
  <c r="AF43" i="1" s="1"/>
  <c r="AF41" i="1"/>
  <c r="AJ52" i="1"/>
  <c r="AJ54" i="1" s="1"/>
  <c r="AK54" i="1" s="1"/>
  <c r="AG43" i="1"/>
  <c r="AG40" i="1" s="1"/>
  <c r="AG45" i="1" s="1"/>
  <c r="AA44" i="1"/>
  <c r="G11" i="3"/>
  <c r="G10" i="3" s="1"/>
  <c r="G12" i="3" s="1"/>
  <c r="G19" i="3" s="1"/>
  <c r="AA40" i="1"/>
  <c r="AA45" i="1" s="1"/>
  <c r="AR16" i="2"/>
  <c r="AJ53" i="1"/>
  <c r="H39" i="4"/>
  <c r="H6" i="3"/>
  <c r="AL23" i="1"/>
  <c r="AL25" i="1"/>
  <c r="AL26" i="1"/>
  <c r="AK25" i="1"/>
  <c r="AK26" i="1"/>
  <c r="I8" i="4"/>
  <c r="I38" i="4" s="1"/>
  <c r="AI43" i="1"/>
  <c r="AI40" i="1" s="1"/>
  <c r="AI45" i="1" s="1"/>
  <c r="AU40" i="2"/>
  <c r="AU6" i="2"/>
  <c r="AO44" i="2"/>
  <c r="AO43" i="2" s="1"/>
  <c r="AO24" i="1" s="1"/>
  <c r="AQ45" i="2"/>
  <c r="AO37" i="1"/>
  <c r="AN35" i="1"/>
  <c r="AH39" i="1"/>
  <c r="AH30" i="1"/>
  <c r="AN31" i="1"/>
  <c r="AQ9" i="2"/>
  <c r="AC50" i="1"/>
  <c r="AC57" i="1"/>
  <c r="AC58" i="1"/>
  <c r="G7" i="3"/>
  <c r="AT7" i="2"/>
  <c r="AT9" i="1"/>
  <c r="AT19" i="2"/>
  <c r="AT17" i="2"/>
  <c r="AT12" i="2"/>
  <c r="AT14" i="2"/>
  <c r="AT13" i="2"/>
  <c r="AT18" i="2"/>
  <c r="AS17" i="2"/>
  <c r="AS7" i="2"/>
  <c r="AS19" i="2"/>
  <c r="AS9" i="1"/>
  <c r="AS18" i="2"/>
  <c r="AS12" i="2"/>
  <c r="AS13" i="2"/>
  <c r="AS14" i="2"/>
  <c r="AQ32" i="1"/>
  <c r="AQ31" i="1" s="1"/>
  <c r="AS21" i="2"/>
  <c r="AR14" i="1"/>
  <c r="AR19" i="1" s="1"/>
  <c r="AR20" i="1" s="1"/>
  <c r="AR10" i="1"/>
  <c r="U49" i="1"/>
  <c r="V49" i="1"/>
  <c r="J16" i="3" l="1"/>
  <c r="AU9" i="1"/>
  <c r="AU10" i="1" s="1"/>
  <c r="AM28" i="1"/>
  <c r="AK27" i="1"/>
  <c r="AJ29" i="1"/>
  <c r="AE46" i="1"/>
  <c r="AE47" i="1"/>
  <c r="AE49" i="1" s="1"/>
  <c r="AE57" i="1" s="1"/>
  <c r="AP31" i="1"/>
  <c r="AP32" i="1" s="1"/>
  <c r="AP44" i="2"/>
  <c r="AP45" i="2" s="1"/>
  <c r="AS16" i="2"/>
  <c r="AT11" i="2"/>
  <c r="AB40" i="1"/>
  <c r="AB45" i="1" s="1"/>
  <c r="AB47" i="1" s="1"/>
  <c r="AG46" i="1"/>
  <c r="AG47" i="1"/>
  <c r="AI46" i="1"/>
  <c r="AI47" i="1"/>
  <c r="AI49" i="1" s="1"/>
  <c r="F10" i="4"/>
  <c r="F40" i="4" s="1"/>
  <c r="V58" i="1"/>
  <c r="V60" i="1" s="1"/>
  <c r="V124" i="1"/>
  <c r="V57" i="1"/>
  <c r="V135" i="1"/>
  <c r="V165" i="1" s="1"/>
  <c r="V50" i="1"/>
  <c r="F11" i="4"/>
  <c r="U58" i="1"/>
  <c r="U50" i="1"/>
  <c r="U57" i="1"/>
  <c r="AL53" i="1"/>
  <c r="AL52" i="1"/>
  <c r="AK52" i="1"/>
  <c r="AL54" i="1"/>
  <c r="Z46" i="1"/>
  <c r="Z47" i="1"/>
  <c r="AA47" i="1" s="1"/>
  <c r="AA125" i="1" s="1"/>
  <c r="AU105" i="1"/>
  <c r="AS11" i="2"/>
  <c r="AT16" i="2"/>
  <c r="AO25" i="1"/>
  <c r="AO23" i="1"/>
  <c r="AO26" i="1"/>
  <c r="AA46" i="1"/>
  <c r="AN24" i="1"/>
  <c r="AP43" i="2"/>
  <c r="AH41" i="1"/>
  <c r="AU7" i="2"/>
  <c r="AU19" i="2"/>
  <c r="AU12" i="2"/>
  <c r="AU14" i="2"/>
  <c r="AU17" i="2"/>
  <c r="AU13" i="2"/>
  <c r="AU18" i="2"/>
  <c r="AR9" i="2"/>
  <c r="AF42" i="1"/>
  <c r="H11" i="3" s="1"/>
  <c r="H10" i="3" s="1"/>
  <c r="H12" i="3" s="1"/>
  <c r="H19" i="3" s="1"/>
  <c r="AF40" i="1"/>
  <c r="AF45" i="1" s="1"/>
  <c r="AR32" i="1"/>
  <c r="AQ44" i="2"/>
  <c r="AR45" i="2"/>
  <c r="AR44" i="2" s="1"/>
  <c r="AR43" i="2" s="1"/>
  <c r="AR24" i="1" s="1"/>
  <c r="AS14" i="1"/>
  <c r="AS19" i="1" s="1"/>
  <c r="AS20" i="1" s="1"/>
  <c r="AS10" i="1"/>
  <c r="AT10" i="1"/>
  <c r="AT14" i="1"/>
  <c r="AT19" i="1" s="1"/>
  <c r="AT20" i="1" s="1"/>
  <c r="AQ37" i="1"/>
  <c r="AO35" i="1"/>
  <c r="AP37" i="1"/>
  <c r="AP35" i="1" s="1"/>
  <c r="AP138" i="1" s="1"/>
  <c r="AP85" i="1" s="1"/>
  <c r="AU21" i="2"/>
  <c r="H7" i="3"/>
  <c r="AJ55" i="1"/>
  <c r="AK55" i="1" s="1"/>
  <c r="AF44" i="1"/>
  <c r="F48" i="4"/>
  <c r="K6" i="4" l="1"/>
  <c r="AE58" i="1"/>
  <c r="AS9" i="2"/>
  <c r="AU71" i="1"/>
  <c r="AU73" i="1"/>
  <c r="AF47" i="1"/>
  <c r="AF137" i="1" s="1"/>
  <c r="AK136" i="1"/>
  <c r="AK82" i="1"/>
  <c r="AK28" i="1"/>
  <c r="I8" i="3"/>
  <c r="I9" i="3" s="1"/>
  <c r="AK29" i="1"/>
  <c r="AJ30" i="1"/>
  <c r="AJ39" i="1"/>
  <c r="AJ41" i="1" s="1"/>
  <c r="AJ43" i="1" s="1"/>
  <c r="AJ40" i="1" s="1"/>
  <c r="AJ45" i="1" s="1"/>
  <c r="AN28" i="1"/>
  <c r="AB46" i="1"/>
  <c r="AT9" i="2"/>
  <c r="AA49" i="1"/>
  <c r="G10" i="4" s="1"/>
  <c r="G40" i="4" s="1"/>
  <c r="AB49" i="1"/>
  <c r="AB57" i="1" s="1"/>
  <c r="Z49" i="1"/>
  <c r="AE50" i="1" s="1"/>
  <c r="AI57" i="1"/>
  <c r="AI50" i="1"/>
  <c r="AI58" i="1"/>
  <c r="AJ47" i="1"/>
  <c r="AJ49" i="1" s="1"/>
  <c r="AJ46" i="1"/>
  <c r="F12" i="4"/>
  <c r="F55" i="4" s="1"/>
  <c r="F41" i="4"/>
  <c r="I45" i="4"/>
  <c r="I46" i="4" s="1"/>
  <c r="AK53" i="1"/>
  <c r="AS45" i="2"/>
  <c r="AN23" i="1"/>
  <c r="AP23" i="1" s="1"/>
  <c r="AN25" i="1"/>
  <c r="AN26" i="1"/>
  <c r="AP24" i="1"/>
  <c r="AM52" i="1"/>
  <c r="AM54" i="1" s="1"/>
  <c r="V196" i="1"/>
  <c r="V65" i="1" s="1"/>
  <c r="F27" i="4"/>
  <c r="AU14" i="1"/>
  <c r="J50" i="4"/>
  <c r="AU11" i="2"/>
  <c r="AR25" i="1"/>
  <c r="AR23" i="1"/>
  <c r="AR26" i="1"/>
  <c r="AM53" i="1"/>
  <c r="AM55" i="1" s="1"/>
  <c r="AR37" i="1"/>
  <c r="AQ35" i="1"/>
  <c r="AL55" i="1"/>
  <c r="F43" i="4"/>
  <c r="AQ43" i="2"/>
  <c r="G48" i="4"/>
  <c r="AR31" i="1"/>
  <c r="AS32" i="1"/>
  <c r="AS31" i="1" s="1"/>
  <c r="AH43" i="1"/>
  <c r="AA137" i="1"/>
  <c r="AA48" i="1"/>
  <c r="AA179" i="1"/>
  <c r="U60" i="1"/>
  <c r="AG49" i="1"/>
  <c r="AF46" i="1"/>
  <c r="AU16" i="2"/>
  <c r="K4" i="3" l="1"/>
  <c r="K5" i="3" s="1"/>
  <c r="L5" i="3" s="1"/>
  <c r="M5" i="3" s="1"/>
  <c r="N5" i="3" s="1"/>
  <c r="O5" i="3" s="1"/>
  <c r="P5" i="3" s="1"/>
  <c r="AK43" i="1"/>
  <c r="AF49" i="1"/>
  <c r="AF125" i="1"/>
  <c r="H48" i="4" s="1"/>
  <c r="K36" i="4"/>
  <c r="AF48" i="1"/>
  <c r="AK41" i="1"/>
  <c r="AK44" i="1" s="1"/>
  <c r="I9" i="4"/>
  <c r="AK30" i="1"/>
  <c r="AK39" i="1"/>
  <c r="AK96" i="1"/>
  <c r="AM27" i="1"/>
  <c r="AM29" i="1" s="1"/>
  <c r="AN27" i="1"/>
  <c r="AN29" i="1" s="1"/>
  <c r="AN30" i="1" s="1"/>
  <c r="AL27" i="1"/>
  <c r="I17" i="4"/>
  <c r="AO28" i="1"/>
  <c r="AQ28" i="1" s="1"/>
  <c r="G11" i="4"/>
  <c r="G12" i="4" s="1"/>
  <c r="G55" i="4" s="1"/>
  <c r="AA50" i="1"/>
  <c r="AA58" i="1"/>
  <c r="AA60" i="1" s="1"/>
  <c r="AF179" i="1" s="1"/>
  <c r="AA57" i="1"/>
  <c r="AA135" i="1"/>
  <c r="AA165" i="1" s="1"/>
  <c r="G27" i="4" s="1"/>
  <c r="AB58" i="1"/>
  <c r="Z57" i="1"/>
  <c r="Z50" i="1"/>
  <c r="Z58" i="1"/>
  <c r="AB50" i="1"/>
  <c r="F16" i="4"/>
  <c r="F47" i="4"/>
  <c r="F53" i="4" s="1"/>
  <c r="F54" i="4" s="1"/>
  <c r="V80" i="1"/>
  <c r="V98" i="1" s="1"/>
  <c r="AJ58" i="1"/>
  <c r="AJ50" i="1"/>
  <c r="AJ57" i="1"/>
  <c r="AH40" i="1"/>
  <c r="AH45" i="1" s="1"/>
  <c r="AQ24" i="1"/>
  <c r="AS44" i="2"/>
  <c r="AT45" i="2"/>
  <c r="AT44" i="2" s="1"/>
  <c r="AT43" i="2" s="1"/>
  <c r="AT24" i="1" s="1"/>
  <c r="AS37" i="1"/>
  <c r="AR35" i="1"/>
  <c r="AG58" i="1"/>
  <c r="AG50" i="1"/>
  <c r="AG57" i="1"/>
  <c r="K18" i="3"/>
  <c r="AU9" i="2"/>
  <c r="AN52" i="1"/>
  <c r="AN54" i="1"/>
  <c r="G30" i="4"/>
  <c r="AA192" i="1"/>
  <c r="G32" i="4" s="1"/>
  <c r="AT32" i="1"/>
  <c r="AT31" i="1" s="1"/>
  <c r="AU31" i="1" s="1"/>
  <c r="AU32" i="1" s="1"/>
  <c r="AP25" i="1"/>
  <c r="J8" i="4"/>
  <c r="J38" i="4" s="1"/>
  <c r="AP26" i="1"/>
  <c r="AN53" i="1"/>
  <c r="AF135" i="1"/>
  <c r="AF165" i="1" s="1"/>
  <c r="AF50" i="1"/>
  <c r="AF58" i="1"/>
  <c r="AF60" i="1" s="1"/>
  <c r="H11" i="4"/>
  <c r="H10" i="4"/>
  <c r="H40" i="4" s="1"/>
  <c r="AF57" i="1"/>
  <c r="AA124" i="1"/>
  <c r="AU69" i="1"/>
  <c r="AU101" i="1"/>
  <c r="AU111" i="1" s="1"/>
  <c r="AU121" i="1" s="1"/>
  <c r="AU15" i="1"/>
  <c r="AU19" i="1"/>
  <c r="G41" i="4" l="1"/>
  <c r="AK40" i="1"/>
  <c r="AK45" i="1" s="1"/>
  <c r="AK46" i="1" s="1"/>
  <c r="AK42" i="1"/>
  <c r="I11" i="3" s="1"/>
  <c r="AN39" i="1"/>
  <c r="AN41" i="1" s="1"/>
  <c r="AR28" i="1"/>
  <c r="AS28" i="1"/>
  <c r="AT28" i="1" s="1"/>
  <c r="AO27" i="1"/>
  <c r="AO29" i="1" s="1"/>
  <c r="AL29" i="1"/>
  <c r="AM30" i="1"/>
  <c r="AM39" i="1"/>
  <c r="AM41" i="1" s="1"/>
  <c r="AM43" i="1" s="1"/>
  <c r="AM40" i="1" s="1"/>
  <c r="AM45" i="1" s="1"/>
  <c r="I39" i="4"/>
  <c r="I6" i="3"/>
  <c r="I7" i="3" s="1"/>
  <c r="Z60" i="1"/>
  <c r="AA196" i="1"/>
  <c r="AA65" i="1" s="1"/>
  <c r="AA80" i="1" s="1"/>
  <c r="AA98" i="1" s="1"/>
  <c r="H27" i="4"/>
  <c r="K15" i="3"/>
  <c r="AU139" i="1"/>
  <c r="AT23" i="1"/>
  <c r="AT25" i="1"/>
  <c r="AT26" i="1"/>
  <c r="AH47" i="1"/>
  <c r="AK47" i="1" s="1"/>
  <c r="AH46" i="1"/>
  <c r="AF124" i="1"/>
  <c r="G43" i="4"/>
  <c r="L4" i="3"/>
  <c r="AS43" i="2"/>
  <c r="AU44" i="2"/>
  <c r="AU45" i="2" s="1"/>
  <c r="AO53" i="1"/>
  <c r="AO52" i="1"/>
  <c r="F18" i="4"/>
  <c r="V126" i="1"/>
  <c r="V127" i="1" s="1"/>
  <c r="AT37" i="1"/>
  <c r="AS35" i="1"/>
  <c r="AF192" i="1"/>
  <c r="H32" i="4" s="1"/>
  <c r="H30" i="4"/>
  <c r="AN55" i="1"/>
  <c r="K7" i="4"/>
  <c r="K37" i="4" s="1"/>
  <c r="AU20" i="1"/>
  <c r="H12" i="4"/>
  <c r="H55" i="4" s="1"/>
  <c r="H41" i="4"/>
  <c r="AE60" i="1"/>
  <c r="AK179" i="1"/>
  <c r="K21" i="4"/>
  <c r="AQ25" i="1"/>
  <c r="AQ26" i="1"/>
  <c r="AQ23" i="1"/>
  <c r="I10" i="3" l="1"/>
  <c r="I12" i="3" s="1"/>
  <c r="I19" i="3" s="1"/>
  <c r="AL30" i="1"/>
  <c r="AL39" i="1"/>
  <c r="AL41" i="1" s="1"/>
  <c r="AL43" i="1" s="1"/>
  <c r="AL40" i="1" s="1"/>
  <c r="AL45" i="1" s="1"/>
  <c r="AM47" i="1"/>
  <c r="AM49" i="1" s="1"/>
  <c r="AM46" i="1"/>
  <c r="AP27" i="1"/>
  <c r="AO39" i="1"/>
  <c r="AO41" i="1" s="1"/>
  <c r="AO43" i="1" s="1"/>
  <c r="AO40" i="1" s="1"/>
  <c r="AO45" i="1" s="1"/>
  <c r="AO46" i="1" s="1"/>
  <c r="AO30" i="1"/>
  <c r="G47" i="4"/>
  <c r="G53" i="4" s="1"/>
  <c r="G54" i="4" s="1"/>
  <c r="G16" i="4"/>
  <c r="AT35" i="1"/>
  <c r="AU37" i="1"/>
  <c r="AU35" i="1" s="1"/>
  <c r="AU138" i="1" s="1"/>
  <c r="AU85" i="1" s="1"/>
  <c r="AQ52" i="1"/>
  <c r="AQ54" i="1" s="1"/>
  <c r="AP52" i="1"/>
  <c r="M4" i="3"/>
  <c r="L6" i="3"/>
  <c r="AK48" i="1"/>
  <c r="AK137" i="1"/>
  <c r="AK125" i="1"/>
  <c r="F23" i="4"/>
  <c r="V129" i="1"/>
  <c r="V131" i="1" s="1"/>
  <c r="AK49" i="1"/>
  <c r="AK124" i="1" s="1"/>
  <c r="AN43" i="1"/>
  <c r="AQ53" i="1"/>
  <c r="AQ55" i="1" s="1"/>
  <c r="G18" i="4"/>
  <c r="AA126" i="1"/>
  <c r="AA127" i="1" s="1"/>
  <c r="AO55" i="1"/>
  <c r="AP55" i="1" s="1"/>
  <c r="H43" i="4"/>
  <c r="AK192" i="1"/>
  <c r="I32" i="4" s="1"/>
  <c r="I30" i="4"/>
  <c r="AH49" i="1"/>
  <c r="K14" i="3"/>
  <c r="K16" i="3"/>
  <c r="L16" i="3" s="1"/>
  <c r="M16" i="3" s="1"/>
  <c r="N16" i="3" s="1"/>
  <c r="O16" i="3" s="1"/>
  <c r="P16" i="3" s="1"/>
  <c r="AO54" i="1"/>
  <c r="AP54" i="1" s="1"/>
  <c r="AS24" i="1"/>
  <c r="AU43" i="2"/>
  <c r="AF196" i="1"/>
  <c r="AF65" i="1" s="1"/>
  <c r="AO47" i="1" l="1"/>
  <c r="AO49" i="1" s="1"/>
  <c r="J8" i="3"/>
  <c r="J9" i="3" s="1"/>
  <c r="AP136" i="1"/>
  <c r="AP28" i="1"/>
  <c r="AP82" i="1"/>
  <c r="AP29" i="1"/>
  <c r="AP43" i="1"/>
  <c r="AP41" i="1"/>
  <c r="AM58" i="1"/>
  <c r="AM57" i="1"/>
  <c r="AL47" i="1"/>
  <c r="AL49" i="1" s="1"/>
  <c r="AL46" i="1"/>
  <c r="AK135" i="1"/>
  <c r="AK165" i="1" s="1"/>
  <c r="AK50" i="1"/>
  <c r="I10" i="4"/>
  <c r="I40" i="4" s="1"/>
  <c r="AK58" i="1"/>
  <c r="AK60" i="1" s="1"/>
  <c r="AK57" i="1"/>
  <c r="I11" i="4"/>
  <c r="J45" i="4"/>
  <c r="J46" i="4" s="1"/>
  <c r="AP53" i="1"/>
  <c r="AR53" i="1"/>
  <c r="AR55" i="1" s="1"/>
  <c r="K50" i="4"/>
  <c r="AR52" i="1"/>
  <c r="AR54" i="1" s="1"/>
  <c r="H16" i="4"/>
  <c r="AF80" i="1"/>
  <c r="AF98" i="1" s="1"/>
  <c r="H47" i="4"/>
  <c r="H53" i="4" s="1"/>
  <c r="H54" i="4" s="1"/>
  <c r="AS26" i="1"/>
  <c r="AS25" i="1"/>
  <c r="AS23" i="1"/>
  <c r="AU23" i="1" s="1"/>
  <c r="AU24" i="1"/>
  <c r="I48" i="4"/>
  <c r="I43" i="4"/>
  <c r="L15" i="3"/>
  <c r="L14" i="3" s="1"/>
  <c r="AH57" i="1"/>
  <c r="AH50" i="1"/>
  <c r="AH58" i="1"/>
  <c r="AM50" i="1"/>
  <c r="AN40" i="1"/>
  <c r="AN45" i="1" s="1"/>
  <c r="N4" i="3"/>
  <c r="M15" i="3"/>
  <c r="M6" i="3"/>
  <c r="AO50" i="1"/>
  <c r="AO57" i="1"/>
  <c r="AO58" i="1"/>
  <c r="G23" i="4"/>
  <c r="AA129" i="1"/>
  <c r="AA131" i="1" s="1"/>
  <c r="AP40" i="1" l="1"/>
  <c r="AL50" i="1"/>
  <c r="AL57" i="1"/>
  <c r="AL58" i="1"/>
  <c r="AP44" i="1"/>
  <c r="AP39" i="1"/>
  <c r="AP42" i="1" s="1"/>
  <c r="J11" i="3" s="1"/>
  <c r="J9" i="4"/>
  <c r="AP30" i="1"/>
  <c r="AR27" i="1"/>
  <c r="AR29" i="1" s="1"/>
  <c r="AP96" i="1"/>
  <c r="J17" i="4"/>
  <c r="AS27" i="1"/>
  <c r="AS29" i="1" s="1"/>
  <c r="AS39" i="1" s="1"/>
  <c r="AQ27" i="1"/>
  <c r="AT27" i="1"/>
  <c r="AT29" i="1" s="1"/>
  <c r="O4" i="3"/>
  <c r="N6" i="3"/>
  <c r="N15" i="3"/>
  <c r="N14" i="3" s="1"/>
  <c r="I12" i="4"/>
  <c r="I55" i="4" s="1"/>
  <c r="I41" i="4"/>
  <c r="AN46" i="1"/>
  <c r="AN47" i="1"/>
  <c r="AP47" i="1" s="1"/>
  <c r="AP179" i="1"/>
  <c r="AJ60" i="1"/>
  <c r="AF126" i="1"/>
  <c r="AF127" i="1" s="1"/>
  <c r="H18" i="4"/>
  <c r="AS53" i="1"/>
  <c r="AS55" i="1"/>
  <c r="I27" i="4"/>
  <c r="AK196" i="1"/>
  <c r="AK65" i="1" s="1"/>
  <c r="AU26" i="1"/>
  <c r="AU25" i="1"/>
  <c r="K8" i="4"/>
  <c r="K38" i="4" s="1"/>
  <c r="M14" i="3"/>
  <c r="AS52" i="1"/>
  <c r="AS54" i="1"/>
  <c r="AS30" i="1" l="1"/>
  <c r="AP45" i="1"/>
  <c r="AP46" i="1" s="1"/>
  <c r="J6" i="3"/>
  <c r="J7" i="3" s="1"/>
  <c r="J39" i="4"/>
  <c r="AT30" i="1"/>
  <c r="AT39" i="1"/>
  <c r="AT41" i="1" s="1"/>
  <c r="AT43" i="1" s="1"/>
  <c r="AT40" i="1" s="1"/>
  <c r="AT45" i="1" s="1"/>
  <c r="AT46" i="1" s="1"/>
  <c r="AU27" i="1"/>
  <c r="AQ29" i="1"/>
  <c r="AR30" i="1"/>
  <c r="AR39" i="1"/>
  <c r="AR41" i="1" s="1"/>
  <c r="AR43" i="1" s="1"/>
  <c r="AR40" i="1" s="1"/>
  <c r="AR45" i="1" s="1"/>
  <c r="O6" i="3"/>
  <c r="O15" i="3"/>
  <c r="O14" i="3" s="1"/>
  <c r="P4" i="3"/>
  <c r="AP137" i="1"/>
  <c r="AP48" i="1"/>
  <c r="AP125" i="1"/>
  <c r="AT52" i="1"/>
  <c r="AU52" i="1" s="1"/>
  <c r="AP49" i="1"/>
  <c r="AK80" i="1"/>
  <c r="AK98" i="1" s="1"/>
  <c r="I16" i="4"/>
  <c r="I47" i="4"/>
  <c r="I53" i="4" s="1"/>
  <c r="I54" i="4" s="1"/>
  <c r="H23" i="4"/>
  <c r="AF129" i="1"/>
  <c r="AF131" i="1" s="1"/>
  <c r="AN49" i="1"/>
  <c r="AS41" i="1"/>
  <c r="AT53" i="1"/>
  <c r="AT55" i="1" s="1"/>
  <c r="AU55" i="1" s="1"/>
  <c r="J30" i="4"/>
  <c r="AP192" i="1"/>
  <c r="J32" i="4" s="1"/>
  <c r="J10" i="3" l="1"/>
  <c r="J12" i="3" s="1"/>
  <c r="J19" i="3" s="1"/>
  <c r="AT47" i="1"/>
  <c r="AT49" i="1" s="1"/>
  <c r="AT58" i="1" s="1"/>
  <c r="AQ39" i="1"/>
  <c r="AQ41" i="1" s="1"/>
  <c r="AQ43" i="1" s="1"/>
  <c r="AQ40" i="1" s="1"/>
  <c r="AQ45" i="1" s="1"/>
  <c r="AQ30" i="1"/>
  <c r="AU28" i="1"/>
  <c r="K8" i="3"/>
  <c r="K9" i="3" s="1"/>
  <c r="L9" i="3" s="1"/>
  <c r="AU136" i="1"/>
  <c r="AU82" i="1"/>
  <c r="AU29" i="1"/>
  <c r="AR46" i="1"/>
  <c r="AR47" i="1"/>
  <c r="AR49" i="1" s="1"/>
  <c r="AN58" i="1"/>
  <c r="AN57" i="1"/>
  <c r="AN50" i="1"/>
  <c r="K45" i="4"/>
  <c r="K46" i="4" s="1"/>
  <c r="I18" i="4"/>
  <c r="AK126" i="1"/>
  <c r="AK127" i="1" s="1"/>
  <c r="J48" i="4"/>
  <c r="AP57" i="1"/>
  <c r="AP50" i="1"/>
  <c r="AP58" i="1"/>
  <c r="AP60" i="1" s="1"/>
  <c r="J11" i="4"/>
  <c r="AP135" i="1"/>
  <c r="AP165" i="1" s="1"/>
  <c r="J10" i="4"/>
  <c r="J40" i="4" s="1"/>
  <c r="AP124" i="1"/>
  <c r="P6" i="3"/>
  <c r="P15" i="3"/>
  <c r="P14" i="3" s="1"/>
  <c r="AS43" i="1"/>
  <c r="AT54" i="1"/>
  <c r="AU54" i="1" s="1"/>
  <c r="AU53" i="1" s="1"/>
  <c r="AU43" i="1" l="1"/>
  <c r="AT50" i="1"/>
  <c r="AR58" i="1"/>
  <c r="AR50" i="1"/>
  <c r="AR57" i="1"/>
  <c r="AQ46" i="1"/>
  <c r="AQ47" i="1"/>
  <c r="AQ49" i="1" s="1"/>
  <c r="AU39" i="1"/>
  <c r="AU42" i="1" s="1"/>
  <c r="K11" i="3" s="1"/>
  <c r="L11" i="3" s="1"/>
  <c r="AU30" i="1"/>
  <c r="K9" i="4"/>
  <c r="K17" i="4"/>
  <c r="AU96" i="1"/>
  <c r="AU41" i="1"/>
  <c r="M9" i="3"/>
  <c r="L8" i="3"/>
  <c r="AU44" i="1"/>
  <c r="AU179" i="1"/>
  <c r="AO60" i="1"/>
  <c r="J12" i="4"/>
  <c r="J55" i="4" s="1"/>
  <c r="J41" i="4"/>
  <c r="I23" i="4"/>
  <c r="AK129" i="1"/>
  <c r="AK131" i="1" s="1"/>
  <c r="J43" i="4"/>
  <c r="AU40" i="1"/>
  <c r="AU45" i="1" s="1"/>
  <c r="AT57" i="1"/>
  <c r="AS40" i="1"/>
  <c r="AS45" i="1" s="1"/>
  <c r="AP196" i="1"/>
  <c r="AP65" i="1" s="1"/>
  <c r="J27" i="4"/>
  <c r="K39" i="4" l="1"/>
  <c r="K6" i="3"/>
  <c r="K7" i="3" s="1"/>
  <c r="N9" i="3"/>
  <c r="M8" i="3"/>
  <c r="AQ58" i="1"/>
  <c r="AQ50" i="1"/>
  <c r="AQ57" i="1"/>
  <c r="AU46" i="1"/>
  <c r="M11" i="3"/>
  <c r="L10" i="3"/>
  <c r="L12" i="3" s="1"/>
  <c r="J16" i="4"/>
  <c r="AP80" i="1"/>
  <c r="AP98" i="1" s="1"/>
  <c r="J47" i="4"/>
  <c r="J53" i="4" s="1"/>
  <c r="J54" i="4" s="1"/>
  <c r="AS47" i="1"/>
  <c r="AU47" i="1" s="1"/>
  <c r="AS46" i="1"/>
  <c r="K30" i="4"/>
  <c r="AU192" i="1"/>
  <c r="K32" i="4" s="1"/>
  <c r="K10" i="3" l="1"/>
  <c r="K12" i="3" s="1"/>
  <c r="K19" i="3" s="1"/>
  <c r="O9" i="3"/>
  <c r="N8" i="3"/>
  <c r="AS49" i="1"/>
  <c r="AS58" i="1" s="1"/>
  <c r="N11" i="3"/>
  <c r="M10" i="3"/>
  <c r="M12" i="3" s="1"/>
  <c r="AP126" i="1"/>
  <c r="AP127" i="1" s="1"/>
  <c r="J18" i="4"/>
  <c r="AU48" i="1"/>
  <c r="AU137" i="1"/>
  <c r="AU125" i="1"/>
  <c r="K48" i="4" s="1"/>
  <c r="AU49" i="1"/>
  <c r="P9" i="3" l="1"/>
  <c r="O8" i="3"/>
  <c r="AS57" i="1"/>
  <c r="AS50" i="1"/>
  <c r="J23" i="4"/>
  <c r="AP129" i="1"/>
  <c r="AP131" i="1" s="1"/>
  <c r="K10" i="4"/>
  <c r="K40" i="4" s="1"/>
  <c r="AU135" i="1"/>
  <c r="AU165" i="1" s="1"/>
  <c r="AU50" i="1"/>
  <c r="AU58" i="1"/>
  <c r="AU60" i="1" s="1"/>
  <c r="AT60" i="1" s="1"/>
  <c r="AU57" i="1"/>
  <c r="K11" i="4"/>
  <c r="AU124" i="1"/>
  <c r="O11" i="3"/>
  <c r="N10" i="3"/>
  <c r="N12" i="3" s="1"/>
  <c r="L18" i="3" l="1"/>
  <c r="P8" i="3"/>
  <c r="K12" i="4"/>
  <c r="K55" i="4" s="1"/>
  <c r="K41" i="4"/>
  <c r="AU196" i="1"/>
  <c r="AU65" i="1" s="1"/>
  <c r="K27" i="4"/>
  <c r="P11" i="3"/>
  <c r="P10" i="3" s="1"/>
  <c r="O10" i="3"/>
  <c r="O12" i="3" s="1"/>
  <c r="K43" i="4"/>
  <c r="P12" i="3" l="1"/>
  <c r="M18" i="3"/>
  <c r="L17" i="3"/>
  <c r="L19" i="3" s="1"/>
  <c r="AU80" i="1"/>
  <c r="AU98" i="1" s="1"/>
  <c r="K16" i="4"/>
  <c r="K47" i="4"/>
  <c r="K53" i="4" s="1"/>
  <c r="K54" i="4" s="1"/>
  <c r="N18" i="3" l="1"/>
  <c r="M17" i="3"/>
  <c r="M19" i="3" s="1"/>
  <c r="AU126" i="1"/>
  <c r="AU127" i="1" s="1"/>
  <c r="K18" i="4"/>
  <c r="O18" i="3" l="1"/>
  <c r="N17" i="3"/>
  <c r="N19" i="3" s="1"/>
  <c r="K23" i="4"/>
  <c r="AU129" i="1"/>
  <c r="AU131" i="1" s="1"/>
  <c r="P18" i="3" l="1"/>
  <c r="P17" i="3" s="1"/>
  <c r="P19" i="3" s="1"/>
  <c r="O17" i="3"/>
  <c r="O19" i="3" s="1"/>
  <c r="O24" i="3" l="1"/>
  <c r="O23" i="3"/>
  <c r="O31" i="3" l="1"/>
  <c r="O33" i="3" s="1"/>
  <c r="O3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Gupta, Akansha B.</author>
  </authors>
  <commentList>
    <comment ref="I117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Includes trade payables of 9.2
</t>
        </r>
      </text>
    </comment>
    <comment ref="V167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In 2Q19 call, the company has projected to keep the capital expenditure flat.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Gupta, Akansha B.</author>
  </authors>
  <commentList>
    <comment ref="U25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Expectation of double digit growth in all the quarters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Gupta, Akansha B.</author>
  </authors>
  <commentList>
    <comment ref="B23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Government 10 year bond rate
</t>
        </r>
      </text>
    </comment>
    <comment ref="B25" authorId="0" shapeId="0" xr:uid="{00000000-0006-0000-0300-000002000000}">
      <text>
        <r>
          <rPr>
            <sz val="9"/>
            <color indexed="81"/>
            <rFont val="Tahoma"/>
            <family val="2"/>
          </rPr>
          <t>http://pages.stern.nyu.edu/~adamodar/New_Home_Page/datafile/ctryprem.html</t>
        </r>
      </text>
    </comment>
  </commentList>
</comments>
</file>

<file path=xl/sharedStrings.xml><?xml version="1.0" encoding="utf-8"?>
<sst xmlns="http://schemas.openxmlformats.org/spreadsheetml/2006/main" count="738" uniqueCount="294">
  <si>
    <t>Financials</t>
  </si>
  <si>
    <t>1Q2018</t>
  </si>
  <si>
    <t>2Q2018</t>
  </si>
  <si>
    <t>3Q2018</t>
  </si>
  <si>
    <t>4Q2018</t>
  </si>
  <si>
    <t>FY2018</t>
  </si>
  <si>
    <t>1Q2019</t>
  </si>
  <si>
    <t>2Q2019</t>
  </si>
  <si>
    <t>3Q2019</t>
  </si>
  <si>
    <t>4Q2019</t>
  </si>
  <si>
    <t>FY2019</t>
  </si>
  <si>
    <t>A</t>
  </si>
  <si>
    <t>F</t>
  </si>
  <si>
    <t>1Q2016</t>
  </si>
  <si>
    <t>2Q2016</t>
  </si>
  <si>
    <t>3Q2016</t>
  </si>
  <si>
    <t>4Q2016</t>
  </si>
  <si>
    <t>FY2016</t>
  </si>
  <si>
    <t>1Q2017</t>
  </si>
  <si>
    <t>2Q2017</t>
  </si>
  <si>
    <t>3Q2017</t>
  </si>
  <si>
    <t>4Q2017</t>
  </si>
  <si>
    <t>FY2017</t>
  </si>
  <si>
    <t>1Q2020</t>
  </si>
  <si>
    <t>2Q2020</t>
  </si>
  <si>
    <t>3Q2020</t>
  </si>
  <si>
    <t>4Q2020</t>
  </si>
  <si>
    <t>FY2020</t>
  </si>
  <si>
    <t>1Q2021</t>
  </si>
  <si>
    <t>2Q2021</t>
  </si>
  <si>
    <t>3Q2021</t>
  </si>
  <si>
    <t>4Q2021</t>
  </si>
  <si>
    <t>FY2021</t>
  </si>
  <si>
    <t>1Q2024</t>
  </si>
  <si>
    <t>2Q2024</t>
  </si>
  <si>
    <t>3Q2024</t>
  </si>
  <si>
    <t>4Q2024</t>
  </si>
  <si>
    <t>FY2024</t>
  </si>
  <si>
    <t>1Q2023</t>
  </si>
  <si>
    <t>2Q2023</t>
  </si>
  <si>
    <t>3Q2023</t>
  </si>
  <si>
    <t>4Q2023</t>
  </si>
  <si>
    <t>FY2023</t>
  </si>
  <si>
    <t>1Q2022</t>
  </si>
  <si>
    <t>2Q2022</t>
  </si>
  <si>
    <t>3Q2022</t>
  </si>
  <si>
    <t>4Q2022</t>
  </si>
  <si>
    <t>FY2022</t>
  </si>
  <si>
    <t>Revenue</t>
  </si>
  <si>
    <t>Revenue from operations</t>
  </si>
  <si>
    <t>Cost of Goods Sold</t>
  </si>
  <si>
    <t>Cost of materials consumed</t>
  </si>
  <si>
    <t>Purchases of stock-in-trade</t>
  </si>
  <si>
    <t>Change in inventories of FG, WIP, and SIT</t>
  </si>
  <si>
    <t>Excise duty</t>
  </si>
  <si>
    <t>Gross Profit</t>
  </si>
  <si>
    <t>Selling, General &amp; Administration</t>
  </si>
  <si>
    <t>Other operating expense</t>
  </si>
  <si>
    <t>EBITDA</t>
  </si>
  <si>
    <t>Depreciation &amp; Amortization</t>
  </si>
  <si>
    <t>EBIT</t>
  </si>
  <si>
    <t>Finance income</t>
  </si>
  <si>
    <t>Finance expense</t>
  </si>
  <si>
    <t>Exceptional items</t>
  </si>
  <si>
    <t>PBT</t>
  </si>
  <si>
    <t>Tax</t>
  </si>
  <si>
    <t>Current tax</t>
  </si>
  <si>
    <t>Deferred tax</t>
  </si>
  <si>
    <t>PAT</t>
  </si>
  <si>
    <t>Weighted average number of basic share</t>
  </si>
  <si>
    <t>Basic EPS</t>
  </si>
  <si>
    <t>Share of profit of JV and Associate</t>
  </si>
  <si>
    <t>Share of profit of associate</t>
  </si>
  <si>
    <t>Share of profit of JV</t>
  </si>
  <si>
    <t>Minority interest</t>
  </si>
  <si>
    <t>PAT to equity shareholders</t>
  </si>
  <si>
    <t>DPS</t>
  </si>
  <si>
    <t>Balance Sheet</t>
  </si>
  <si>
    <t>Cash and cash equivalents</t>
  </si>
  <si>
    <t>Investments</t>
  </si>
  <si>
    <t>Inventories</t>
  </si>
  <si>
    <t>Accounts receivables</t>
  </si>
  <si>
    <t>Other current assets</t>
  </si>
  <si>
    <t>Total current assets</t>
  </si>
  <si>
    <t>Fixed Assets</t>
  </si>
  <si>
    <t>Associates</t>
  </si>
  <si>
    <t>Long-term financial assets</t>
  </si>
  <si>
    <t>Goodwill</t>
  </si>
  <si>
    <t>Intangibles</t>
  </si>
  <si>
    <t>Other non-current assets</t>
  </si>
  <si>
    <t>Total non-current assets</t>
  </si>
  <si>
    <t>Total Assets</t>
  </si>
  <si>
    <t>Accounts payable</t>
  </si>
  <si>
    <t>Other current liabilities</t>
  </si>
  <si>
    <t>Total current liabilities</t>
  </si>
  <si>
    <t>Long term borrowings</t>
  </si>
  <si>
    <t>Provisions</t>
  </si>
  <si>
    <t>Other post obligations</t>
  </si>
  <si>
    <t>Other non current liabilities</t>
  </si>
  <si>
    <t>Total non current laibilities</t>
  </si>
  <si>
    <t>Total liabilities</t>
  </si>
  <si>
    <t>Shareholder equity</t>
  </si>
  <si>
    <t>Other equity</t>
  </si>
  <si>
    <t>Total equity</t>
  </si>
  <si>
    <t>Total liabilities and equity</t>
  </si>
  <si>
    <t>PAT from income statement</t>
  </si>
  <si>
    <t>Depreciation and amortization</t>
  </si>
  <si>
    <t xml:space="preserve">Minorities </t>
  </si>
  <si>
    <t>Change in working capital</t>
  </si>
  <si>
    <t>Other operating cash flow items</t>
  </si>
  <si>
    <t>Cash flow from operations</t>
  </si>
  <si>
    <t>Capital expenditure fixed assets</t>
  </si>
  <si>
    <t>Capital expenditure intangible assets</t>
  </si>
  <si>
    <t>Disposal/ Sales of assets</t>
  </si>
  <si>
    <t>Disposal/Sale of associates/JVs</t>
  </si>
  <si>
    <t>Acquisition of associates /JVs</t>
  </si>
  <si>
    <t>Other investing cash flows</t>
  </si>
  <si>
    <t xml:space="preserve">Cash flow from investing activities </t>
  </si>
  <si>
    <t>Dividend paid</t>
  </si>
  <si>
    <t>Capital issuance</t>
  </si>
  <si>
    <t>Debt issuance/ repayment</t>
  </si>
  <si>
    <t>Other financing cash flows</t>
  </si>
  <si>
    <t xml:space="preserve">Cash flow from financing activities </t>
  </si>
  <si>
    <t>Net change in cash flow</t>
  </si>
  <si>
    <t xml:space="preserve">Bank balances </t>
  </si>
  <si>
    <t>Loans</t>
  </si>
  <si>
    <t>Other financial assets</t>
  </si>
  <si>
    <t>Current tax assets</t>
  </si>
  <si>
    <t>Assets held for sale</t>
  </si>
  <si>
    <t>Total shares outstanding</t>
  </si>
  <si>
    <t>Weighted average number of diluted shares</t>
  </si>
  <si>
    <t>Diluted EPS</t>
  </si>
  <si>
    <t>Total diluted shares outstanding</t>
  </si>
  <si>
    <t>Property, plant and equipment</t>
  </si>
  <si>
    <t>Capital WIP</t>
  </si>
  <si>
    <t>Income tax assets</t>
  </si>
  <si>
    <t>Deferred tax assets</t>
  </si>
  <si>
    <t>Other financial liabilities</t>
  </si>
  <si>
    <t>Current tax liabilities</t>
  </si>
  <si>
    <t>Due to micro and small enterprises</t>
  </si>
  <si>
    <t>Due to others</t>
  </si>
  <si>
    <t>Deferred tax liabilities</t>
  </si>
  <si>
    <t>Check</t>
  </si>
  <si>
    <t>Other operating income</t>
  </si>
  <si>
    <t>y-o-y growth</t>
  </si>
  <si>
    <t>%</t>
  </si>
  <si>
    <t>INR Mn</t>
  </si>
  <si>
    <t>na</t>
  </si>
  <si>
    <t>as a % of sales</t>
  </si>
  <si>
    <t>gross margin</t>
  </si>
  <si>
    <t>EBITDA margin</t>
  </si>
  <si>
    <t>EBIT margin</t>
  </si>
  <si>
    <t>PAT margin</t>
  </si>
  <si>
    <t>Receivable days</t>
  </si>
  <si>
    <t>Mn</t>
  </si>
  <si>
    <t>INR/share</t>
  </si>
  <si>
    <t>Income Statement</t>
  </si>
  <si>
    <t>Cash Flow</t>
  </si>
  <si>
    <t>days</t>
  </si>
  <si>
    <t>No. of days</t>
  </si>
  <si>
    <t>Payable days</t>
  </si>
  <si>
    <t>Inventories days</t>
  </si>
  <si>
    <t>payout ratio</t>
  </si>
  <si>
    <t>as a % of PAT</t>
  </si>
  <si>
    <t>as a % of tax</t>
  </si>
  <si>
    <t>corporate tax</t>
  </si>
  <si>
    <t>as a % of fixed and intangible assets</t>
  </si>
  <si>
    <t>as a % of total debt</t>
  </si>
  <si>
    <t>as a % of investments</t>
  </si>
  <si>
    <t>Summary</t>
  </si>
  <si>
    <t>Cash and Cash Equivalents</t>
  </si>
  <si>
    <t>Short term borrowings</t>
  </si>
  <si>
    <t>Shareholder Equity</t>
  </si>
  <si>
    <t>Total Liabilities</t>
  </si>
  <si>
    <t>Total Equity</t>
  </si>
  <si>
    <t>Key Ratios/ Growth rate</t>
  </si>
  <si>
    <t>Revenue- y-o-y growth</t>
  </si>
  <si>
    <t>Gross margin</t>
  </si>
  <si>
    <t>Debt/Equity</t>
  </si>
  <si>
    <t>Enterprise Value</t>
  </si>
  <si>
    <t>Market Captalization</t>
  </si>
  <si>
    <t>Share Price</t>
  </si>
  <si>
    <t>EV/EBITDA</t>
  </si>
  <si>
    <t>PE</t>
  </si>
  <si>
    <t>Tax on EBIT</t>
  </si>
  <si>
    <t>Capital Expenditure</t>
  </si>
  <si>
    <t>Free Cash Flow</t>
  </si>
  <si>
    <t>FY2025</t>
  </si>
  <si>
    <t>Operational drivers</t>
  </si>
  <si>
    <t>Total Revenue</t>
  </si>
  <si>
    <t>Consumer &amp; Bazaar mix</t>
  </si>
  <si>
    <t>Adhesives &amp; Sealants</t>
  </si>
  <si>
    <t>Construction/ Paints Chemicals</t>
  </si>
  <si>
    <t>Art/ Craft Materials &amp; Others</t>
  </si>
  <si>
    <t>Total revenue mix</t>
  </si>
  <si>
    <t>Industrial Products mix</t>
  </si>
  <si>
    <t>Pigment &amp; Preparation</t>
  </si>
  <si>
    <t>Industrial Resins</t>
  </si>
  <si>
    <t>Industrial Adhesives</t>
  </si>
  <si>
    <t>Others</t>
  </si>
  <si>
    <t>FY2026</t>
  </si>
  <si>
    <t>FY2027</t>
  </si>
  <si>
    <t>FY2028</t>
  </si>
  <si>
    <t>FY2029</t>
  </si>
  <si>
    <t>Consumer &amp; Bazaar Revenue</t>
  </si>
  <si>
    <t>Industrial Products Revenue</t>
  </si>
  <si>
    <t>Others Revenue</t>
  </si>
  <si>
    <t xml:space="preserve">EBITDA </t>
  </si>
  <si>
    <t>EBITDA calculated</t>
  </si>
  <si>
    <t>EBITDA reported</t>
  </si>
  <si>
    <t>Net (decrease)/ increase in current borrowings</t>
  </si>
  <si>
    <t>Net increase/(decrease) in non-current borrowings</t>
  </si>
  <si>
    <t>Payment for buy-back of equity shares</t>
  </si>
  <si>
    <t>Payment for buy-back expenses</t>
  </si>
  <si>
    <t>Proceeds from share capital issued to minority</t>
  </si>
  <si>
    <t>Interest paid</t>
  </si>
  <si>
    <t>Foreign exchange/Others</t>
  </si>
  <si>
    <t>Decrease/(increase) in bank deposits</t>
  </si>
  <si>
    <t>(Increase)/decrease in other bank balances</t>
  </si>
  <si>
    <t>Interest received</t>
  </si>
  <si>
    <t>Dividend received</t>
  </si>
  <si>
    <t>Increase in trade receivables</t>
  </si>
  <si>
    <t>Increase in inventories</t>
  </si>
  <si>
    <t>Increase in trade payables</t>
  </si>
  <si>
    <t>Tax rate</t>
  </si>
  <si>
    <t>Gross cash flow</t>
  </si>
  <si>
    <t>Net working capital</t>
  </si>
  <si>
    <t>Decrease / (increase) in working capital</t>
  </si>
  <si>
    <t>Free Cash Flows</t>
  </si>
  <si>
    <t>WACC Assumptions</t>
  </si>
  <si>
    <t>Risk free rate</t>
  </si>
  <si>
    <t>Beta</t>
  </si>
  <si>
    <t>Market risk premium</t>
  </si>
  <si>
    <t>Marginal tax rate</t>
  </si>
  <si>
    <t>Pre-tax cost of debt</t>
  </si>
  <si>
    <t>Cost of equity</t>
  </si>
  <si>
    <t>Target debt/value ratio</t>
  </si>
  <si>
    <t>Target equity/value ratio</t>
  </si>
  <si>
    <t>Long-term growth rate</t>
  </si>
  <si>
    <t>Enterprise value</t>
  </si>
  <si>
    <t>Share price</t>
  </si>
  <si>
    <t>Share count adjustment factor</t>
  </si>
  <si>
    <t>No. of shares used to calculate mkt cap</t>
  </si>
  <si>
    <t>Total market cap (INR mn)</t>
  </si>
  <si>
    <t>Minority Interest</t>
  </si>
  <si>
    <t>Investment</t>
  </si>
  <si>
    <t>Pension Liabilities</t>
  </si>
  <si>
    <t>Net Debt</t>
  </si>
  <si>
    <t>Other Obligations</t>
  </si>
  <si>
    <t>Valuation</t>
  </si>
  <si>
    <t>Present value of forecast cash flows (2019-2029)</t>
  </si>
  <si>
    <t>Present value of forecast cash flows (2031-perpetuity)</t>
  </si>
  <si>
    <t>net debt</t>
  </si>
  <si>
    <t>unfunded pension liabilities</t>
  </si>
  <si>
    <t>net investments</t>
  </si>
  <si>
    <t>associates</t>
  </si>
  <si>
    <t>minority interests</t>
  </si>
  <si>
    <t>Total Valuation</t>
  </si>
  <si>
    <t>NPV/share</t>
  </si>
  <si>
    <t>Current share prices</t>
  </si>
  <si>
    <t>Upside (downside) to NPV/share</t>
  </si>
  <si>
    <t>share price</t>
  </si>
  <si>
    <t>no of shares issue</t>
  </si>
  <si>
    <t>Associate income</t>
  </si>
  <si>
    <t>Adjusted PAT</t>
  </si>
  <si>
    <t>Adjusted diluted EPS</t>
  </si>
  <si>
    <t>Decrease/(increase) in non-cuurent loans</t>
  </si>
  <si>
    <t>(Increase)/decrease in current loans</t>
  </si>
  <si>
    <t>Increase in other non-current financial assets</t>
  </si>
  <si>
    <t>Increase in other current financial assets</t>
  </si>
  <si>
    <t>(Increase)/decrease in other non-current non-financial assets</t>
  </si>
  <si>
    <t>Increase in other current non-financial assets</t>
  </si>
  <si>
    <t>Incraese in other current financial liabilities</t>
  </si>
  <si>
    <t>Increase in other non-current financial liabilities</t>
  </si>
  <si>
    <t>Increase in other current non-financial liabilities</t>
  </si>
  <si>
    <t>Finance costs recognised in statement of P&amp;L</t>
  </si>
  <si>
    <t>Interest income recognised in statement of P&amp;L</t>
  </si>
  <si>
    <t>Dividend income recognised in statement of P&amp;L</t>
  </si>
  <si>
    <t>Dividend from associate</t>
  </si>
  <si>
    <t>(Profit)/loss on disposal of P,P&amp;E</t>
  </si>
  <si>
    <t>Net gain arising on financial assets designated at FVTPL</t>
  </si>
  <si>
    <t>Allowance for doubtful debts</t>
  </si>
  <si>
    <t>Net foreign exchange loss</t>
  </si>
  <si>
    <t>Provision for employee benefits</t>
  </si>
  <si>
    <t>Provision/write back of warranties and others</t>
  </si>
  <si>
    <t>Expense recognised in respect of equity-settled share based payments</t>
  </si>
  <si>
    <t>Other</t>
  </si>
  <si>
    <t>Enterprise Valuation (EV)</t>
  </si>
  <si>
    <t>Minority interest (NCI)</t>
  </si>
  <si>
    <t>Adjusted PAT margin</t>
  </si>
  <si>
    <t>Share issuance</t>
  </si>
  <si>
    <t>Others/Adjustment</t>
  </si>
  <si>
    <t>x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</si>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</sst>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20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FF66CC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sz val="9"/>
      <color indexed="81"/>
      <name val="Tahoma"/>
      <family val="2"/>
    </font>
    <font>
      <i/>
      <sz val="10"/>
      <color rgb="FF00B0F0"/>
      <name val="Arial"/>
      <family val="2"/>
    </font>
    <font>
      <i/>
      <sz val="10"/>
      <color rgb="FFFF66CC"/>
      <name val="Arial"/>
      <family val="2"/>
    </font>
    <font>
      <i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i/>
      <sz val="10"/>
      <color rgb="FFFF66CC"/>
      <name val="Arial"/>
      <family val="2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theme="4" tint="0.39997558519241921"/>
        <bgColor rgb="FFD9959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EA9DB"/>
        <bgColor rgb="FFD99594"/>
      </patternFill>
    </fill>
    <fill>
      <patternFill patternType="solid">
        <fgColor rgb="FF8EA9DB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/>
    <xf numFmtId="0" fontId="1" fillId="0" borderId="0" xfId="1" applyFont="1"/>
    <xf numFmtId="0" fontId="4" fillId="0" borderId="0" xfId="1" applyFont="1"/>
    <xf numFmtId="14" fontId="2" fillId="3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7" fillId="0" borderId="0" xfId="0" applyFont="1" applyAlignment="1">
      <alignment horizontal="left" indent="1"/>
    </xf>
    <xf numFmtId="164" fontId="8" fillId="0" borderId="0" xfId="0" applyNumberFormat="1" applyFont="1"/>
    <xf numFmtId="0" fontId="6" fillId="0" borderId="0" xfId="0" applyFont="1" applyAlignment="1">
      <alignment horizontal="left"/>
    </xf>
    <xf numFmtId="0" fontId="8" fillId="0" borderId="0" xfId="0" applyFont="1"/>
    <xf numFmtId="165" fontId="8" fillId="0" borderId="0" xfId="0" applyNumberFormat="1" applyFont="1"/>
    <xf numFmtId="165" fontId="6" fillId="0" borderId="0" xfId="0" applyNumberFormat="1" applyFont="1"/>
    <xf numFmtId="4" fontId="9" fillId="0" borderId="0" xfId="0" applyNumberFormat="1" applyFont="1"/>
    <xf numFmtId="2" fontId="8" fillId="0" borderId="0" xfId="0" applyNumberFormat="1" applyFont="1"/>
    <xf numFmtId="2" fontId="6" fillId="0" borderId="0" xfId="0" applyNumberFormat="1" applyFont="1"/>
    <xf numFmtId="164" fontId="5" fillId="0" borderId="0" xfId="0" applyNumberFormat="1" applyFont="1"/>
    <xf numFmtId="0" fontId="10" fillId="0" borderId="0" xfId="0" applyFont="1"/>
    <xf numFmtId="164" fontId="10" fillId="0" borderId="0" xfId="0" applyNumberFormat="1" applyFont="1"/>
    <xf numFmtId="4" fontId="8" fillId="0" borderId="0" xfId="0" applyNumberFormat="1" applyFont="1"/>
    <xf numFmtId="164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66" fontId="6" fillId="0" borderId="0" xfId="0" applyNumberFormat="1" applyFont="1"/>
    <xf numFmtId="166" fontId="10" fillId="0" borderId="0" xfId="0" applyNumberFormat="1" applyFont="1"/>
    <xf numFmtId="164" fontId="12" fillId="0" borderId="0" xfId="0" applyNumberFormat="1" applyFont="1" applyAlignment="1">
      <alignment horizontal="right"/>
    </xf>
    <xf numFmtId="166" fontId="12" fillId="0" borderId="0" xfId="0" applyNumberFormat="1" applyFont="1"/>
    <xf numFmtId="0" fontId="2" fillId="4" borderId="0" xfId="0" applyFont="1" applyFill="1"/>
    <xf numFmtId="0" fontId="4" fillId="0" borderId="0" xfId="1" applyFont="1" applyAlignment="1">
      <alignment horizontal="left" indent="1"/>
    </xf>
    <xf numFmtId="164" fontId="13" fillId="0" borderId="0" xfId="0" applyNumberFormat="1" applyFont="1"/>
    <xf numFmtId="164" fontId="14" fillId="5" borderId="0" xfId="0" applyNumberFormat="1" applyFont="1" applyFill="1"/>
    <xf numFmtId="0" fontId="12" fillId="0" borderId="0" xfId="0" applyFont="1" applyAlignment="1">
      <alignment horizontal="left" indent="1"/>
    </xf>
    <xf numFmtId="0" fontId="12" fillId="0" borderId="0" xfId="0" applyFont="1"/>
    <xf numFmtId="166" fontId="14" fillId="5" borderId="0" xfId="0" applyNumberFormat="1" applyFont="1" applyFill="1"/>
    <xf numFmtId="0" fontId="12" fillId="0" borderId="0" xfId="1" applyFont="1" applyAlignment="1">
      <alignment horizontal="left" indent="1"/>
    </xf>
    <xf numFmtId="164" fontId="12" fillId="0" borderId="0" xfId="0" applyNumberFormat="1" applyFont="1"/>
    <xf numFmtId="164" fontId="7" fillId="5" borderId="0" xfId="0" applyNumberFormat="1" applyFont="1" applyFill="1"/>
    <xf numFmtId="0" fontId="12" fillId="0" borderId="0" xfId="0" applyFont="1" applyAlignment="1">
      <alignment horizontal="left" indent="2"/>
    </xf>
    <xf numFmtId="166" fontId="12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15" fillId="0" borderId="0" xfId="0" applyFont="1"/>
    <xf numFmtId="164" fontId="0" fillId="0" borderId="0" xfId="0" applyNumberFormat="1"/>
    <xf numFmtId="0" fontId="16" fillId="0" borderId="0" xfId="0" applyFont="1"/>
    <xf numFmtId="9" fontId="16" fillId="0" borderId="0" xfId="0" applyNumberFormat="1" applyFont="1"/>
    <xf numFmtId="9" fontId="13" fillId="0" borderId="0" xfId="0" applyNumberFormat="1" applyFont="1"/>
    <xf numFmtId="9" fontId="10" fillId="0" borderId="0" xfId="0" applyNumberFormat="1" applyFont="1"/>
    <xf numFmtId="9" fontId="14" fillId="5" borderId="0" xfId="0" applyNumberFormat="1" applyFont="1" applyFill="1"/>
    <xf numFmtId="9" fontId="17" fillId="0" borderId="0" xfId="0" applyNumberFormat="1" applyFont="1"/>
    <xf numFmtId="0" fontId="7" fillId="0" borderId="0" xfId="1" applyFont="1" applyAlignment="1">
      <alignment horizontal="left" indent="1"/>
    </xf>
    <xf numFmtId="0" fontId="19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5" fillId="0" borderId="4" xfId="0" applyFont="1" applyBorder="1"/>
    <xf numFmtId="0" fontId="15" fillId="0" borderId="6" xfId="0" applyFont="1" applyBorder="1"/>
    <xf numFmtId="0" fontId="0" fillId="0" borderId="7" xfId="0" applyBorder="1"/>
    <xf numFmtId="166" fontId="0" fillId="0" borderId="3" xfId="0" applyNumberFormat="1" applyBorder="1"/>
    <xf numFmtId="166" fontId="0" fillId="0" borderId="5" xfId="0" applyNumberFormat="1" applyBorder="1"/>
    <xf numFmtId="166" fontId="15" fillId="0" borderId="5" xfId="0" applyNumberFormat="1" applyFont="1" applyBorder="1"/>
    <xf numFmtId="0" fontId="0" fillId="0" borderId="6" xfId="0" applyBorder="1"/>
    <xf numFmtId="166" fontId="0" fillId="0" borderId="8" xfId="0" applyNumberFormat="1" applyBorder="1"/>
    <xf numFmtId="164" fontId="0" fillId="0" borderId="5" xfId="0" applyNumberFormat="1" applyBorder="1"/>
    <xf numFmtId="164" fontId="15" fillId="0" borderId="5" xfId="0" applyNumberFormat="1" applyFont="1" applyBorder="1"/>
    <xf numFmtId="164" fontId="0" fillId="0" borderId="3" xfId="0" applyNumberFormat="1" applyBorder="1"/>
    <xf numFmtId="0" fontId="0" fillId="6" borderId="4" xfId="0" applyFill="1" applyBorder="1"/>
    <xf numFmtId="0" fontId="0" fillId="6" borderId="0" xfId="0" applyFill="1"/>
    <xf numFmtId="164" fontId="0" fillId="6" borderId="5" xfId="0" applyNumberFormat="1" applyFill="1" applyBorder="1"/>
    <xf numFmtId="166" fontId="14" fillId="0" borderId="0" xfId="0" applyNumberFormat="1" applyFont="1"/>
    <xf numFmtId="2" fontId="7" fillId="5" borderId="0" xfId="0" applyNumberFormat="1" applyFont="1" applyFill="1"/>
    <xf numFmtId="164" fontId="6" fillId="0" borderId="0" xfId="0" applyNumberFormat="1" applyFont="1" applyAlignment="1">
      <alignment horizontal="right"/>
    </xf>
    <xf numFmtId="0" fontId="5" fillId="8" borderId="0" xfId="0" applyFont="1" applyFill="1"/>
    <xf numFmtId="4" fontId="6" fillId="0" borderId="0" xfId="0" applyNumberFormat="1" applyFont="1"/>
    <xf numFmtId="0" fontId="6" fillId="8" borderId="0" xfId="0" applyFont="1" applyFill="1"/>
    <xf numFmtId="0" fontId="6" fillId="0" borderId="4" xfId="0" applyFont="1" applyBorder="1"/>
    <xf numFmtId="0" fontId="15" fillId="0" borderId="7" xfId="0" applyFont="1" applyBorder="1"/>
    <xf numFmtId="164" fontId="15" fillId="0" borderId="8" xfId="0" applyNumberFormat="1" applyFont="1" applyBorder="1"/>
    <xf numFmtId="0" fontId="5" fillId="0" borderId="4" xfId="0" applyFont="1" applyBorder="1"/>
    <xf numFmtId="4" fontId="5" fillId="0" borderId="0" xfId="0" applyNumberFormat="1" applyFont="1"/>
    <xf numFmtId="3" fontId="6" fillId="0" borderId="0" xfId="0" applyNumberFormat="1" applyFont="1"/>
    <xf numFmtId="3" fontId="5" fillId="0" borderId="0" xfId="0" applyNumberFormat="1" applyFont="1"/>
    <xf numFmtId="0" fontId="3" fillId="0" borderId="0" xfId="1" applyAlignment="1">
      <alignment horizontal="left" indent="2"/>
    </xf>
    <xf numFmtId="0" fontId="15" fillId="8" borderId="1" xfId="0" applyFont="1" applyFill="1" applyBorder="1"/>
    <xf numFmtId="0" fontId="0" fillId="8" borderId="2" xfId="0" applyFill="1" applyBorder="1"/>
    <xf numFmtId="0" fontId="2" fillId="3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8" borderId="4" xfId="0" applyFill="1" applyBorder="1"/>
    <xf numFmtId="0" fontId="0" fillId="8" borderId="0" xfId="0" applyFill="1"/>
    <xf numFmtId="0" fontId="2" fillId="2" borderId="5" xfId="0" applyFont="1" applyFill="1" applyBorder="1" applyAlignment="1">
      <alignment horizontal="center"/>
    </xf>
    <xf numFmtId="0" fontId="12" fillId="0" borderId="4" xfId="0" applyFont="1" applyBorder="1" applyAlignment="1">
      <alignment horizontal="left" indent="1"/>
    </xf>
    <xf numFmtId="166" fontId="19" fillId="0" borderId="0" xfId="0" applyNumberFormat="1" applyFont="1" applyAlignment="1">
      <alignment horizontal="right"/>
    </xf>
    <xf numFmtId="166" fontId="19" fillId="0" borderId="0" xfId="0" applyNumberFormat="1" applyFont="1"/>
    <xf numFmtId="166" fontId="18" fillId="5" borderId="0" xfId="0" applyNumberFormat="1" applyFont="1" applyFill="1"/>
    <xf numFmtId="166" fontId="18" fillId="5" borderId="5" xfId="0" applyNumberFormat="1" applyFont="1" applyFill="1" applyBorder="1"/>
    <xf numFmtId="164" fontId="15" fillId="0" borderId="0" xfId="0" applyNumberFormat="1" applyFont="1"/>
    <xf numFmtId="164" fontId="15" fillId="0" borderId="7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66CC"/>
      <color rgb="FF8EA9DB"/>
      <color rgb="FFD99594"/>
      <color rgb="FFFF006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Pidilite</a:t>
            </a:r>
            <a:r>
              <a:rPr lang="en-US" baseline="0"/>
              <a:t> Consolidated Revenue &amp; PAT (in INR Mn)</a:t>
            </a:r>
            <a:endParaRPr lang="en-US"/>
          </a:p>
        </c:rich>
      </c:tx>
      <c:layout>
        <c:manualLayout>
          <c:xMode val="edge"/>
          <c:yMode val="edge"/>
          <c:x val="0.161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78937007874017"/>
          <c:y val="0.17171296296296296"/>
          <c:w val="0.84521062992125984"/>
          <c:h val="0.642183945756780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Summary!$A$6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Summary!$C$1:$H$1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Summary!$C$6:$H$6</c:f>
              <c:numCache>
                <c:formatCode>#,##0.0</c:formatCode>
                <c:ptCount val="6"/>
                <c:pt idx="0">
                  <c:v>53694.5</c:v>
                </c:pt>
                <c:pt idx="1">
                  <c:v>56167.899999999994</c:v>
                </c:pt>
                <c:pt idx="2">
                  <c:v>60870</c:v>
                </c:pt>
                <c:pt idx="3">
                  <c:v>72138.537065858414</c:v>
                </c:pt>
                <c:pt idx="4">
                  <c:v>77147.989457733551</c:v>
                </c:pt>
                <c:pt idx="5">
                  <c:v>84365.218941913161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9-4A21-9296-640AFD8F3B6E}"/>
            </c:ext>
          </c:extLst>
        </c:ser>
        <c:ser>
          <c:idx val="1"/>
          <c:order val="1"/>
          <c:tx>
            <c:strRef>
              <c:f>Summary!$A$11</c:f>
              <c:strCache>
                <c:ptCount val="1"/>
                <c:pt idx="0">
                  <c:v>Adjusted PAT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Summary!$C$1:$H$1</c:f>
              <c:strCache>
                <c:ptCount val="6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</c:strCache>
            </c:strRef>
          </c:cat>
          <c:val>
            <c:numRef>
              <c:f>Summary!$C$11:$H$11</c:f>
              <c:numCache>
                <c:formatCode>#,##0.0</c:formatCode>
                <c:ptCount val="6"/>
                <c:pt idx="0">
                  <c:v>7603.5999999999967</c:v>
                </c:pt>
                <c:pt idx="1">
                  <c:v>8657.9999999999927</c:v>
                </c:pt>
                <c:pt idx="2">
                  <c:v>9623.5000000000036</c:v>
                </c:pt>
                <c:pt idx="3">
                  <c:v>9289.6962719098792</c:v>
                </c:pt>
                <c:pt idx="4">
                  <c:v>10405.061372724022</c:v>
                </c:pt>
                <c:pt idx="5">
                  <c:v>11307.300650232846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9-4A21-9296-640AFD8F3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0476656"/>
        <c:axId val="1537254000"/>
      </c:barChart>
      <c:catAx>
        <c:axId val="15304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54000"/>
        <c:crosses val="autoZero"/>
        <c:auto val="0"/>
        <c:lblAlgn val="ctr"/>
        <c:lblOffset val="100"/>
        <c:noMultiLvlLbl val="0"/>
      </c:catAx>
      <c:valAx>
        <c:axId val="1537254000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47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Pidilite</a:t>
            </a:r>
            <a:r>
              <a:rPr lang="en-US" baseline="0"/>
              <a:t> - Segment Sales Contribution in 3QFY19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'Operational Drivers'!$A$11:$A$21</c:f>
              <c:strCache>
                <c:ptCount val="11"/>
                <c:pt idx="0">
                  <c:v>Consumer &amp; Bazaar mix</c:v>
                </c:pt>
                <c:pt idx="1">
                  <c:v>Adhesives &amp; Sealants</c:v>
                </c:pt>
                <c:pt idx="2">
                  <c:v>Construction/ Paints Chemicals</c:v>
                </c:pt>
                <c:pt idx="3">
                  <c:v>Art/ Craft Materials &amp; Others</c:v>
                </c:pt>
                <c:pt idx="5">
                  <c:v>Industrial Products mix</c:v>
                </c:pt>
                <c:pt idx="6">
                  <c:v>Pigment &amp; Preparation</c:v>
                </c:pt>
                <c:pt idx="7">
                  <c:v>Industrial Resins</c:v>
                </c:pt>
                <c:pt idx="8">
                  <c:v>Industrial Adhesives</c:v>
                </c:pt>
                <c:pt idx="10">
                  <c:v>Others</c:v>
                </c:pt>
              </c:strCache>
            </c:strRef>
          </c:cat>
          <c:val>
            <c:numRef>
              <c:f>'Operational Drivers'!$T$11:$T$21</c:f>
            </c:numRef>
          </c:val>
          <c:extLst>
            <c:ext xmlns:c16="http://schemas.microsoft.com/office/drawing/2014/chart" uri="{C3380CC4-5D6E-409C-BE32-E72D297353CC}">
              <c16:uniqueId val="{00000000-BF32-4317-962A-9DF5BC31F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34179</xdr:colOff>
      <xdr:row>2</xdr:row>
      <xdr:rowOff>150158</xdr:rowOff>
    </xdr:from>
    <xdr:to>
      <xdr:col>19</xdr:col>
      <xdr:colOff>338978</xdr:colOff>
      <xdr:row>19</xdr:row>
      <xdr:rowOff>140633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CD1CF-CAD7-4516-B10A-39E7586DF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5603</xdr:colOff>
      <xdr:row>47</xdr:row>
      <xdr:rowOff>135591</xdr:rowOff>
    </xdr:from>
    <xdr:to>
      <xdr:col>24</xdr:col>
      <xdr:colOff>246529</xdr:colOff>
      <xdr:row>62</xdr:row>
      <xdr:rowOff>21291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BBF3C-DF63-4111-A39D-AFDCA0C90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showGridLines="0" zoomScale="85" zoomScaleNormal="85" workbookViewId="0">
      <selection activeCell="C6" sqref="C6"/>
    </sheetView>
  </sheetViews>
  <sheetFormatPr defaultColWidth="9.109375" defaultRowHeight="13.2" x14ac:dyDescent="0.25"/>
  <cols>
    <col min="1" max="1" width="19.33203125" style="9" bestFit="1" customWidth="1"/>
    <col min="2" max="16384" width="9.109375" style="9"/>
  </cols>
  <sheetData>
    <row r="1" spans="1:11" x14ac:dyDescent="0.25">
      <c r="A1" s="74" t="s">
        <v>169</v>
      </c>
      <c r="B1" s="76"/>
      <c r="C1" s="1" t="str">
        <f>Financials!G1</f>
        <v>FY2016</v>
      </c>
      <c r="D1" s="1" t="str">
        <f>Financials!L1</f>
        <v>FY2017</v>
      </c>
      <c r="E1" s="1" t="str">
        <f>Financials!Q1</f>
        <v>FY2018</v>
      </c>
      <c r="F1" s="2" t="str">
        <f>Financials!V1</f>
        <v>FY2019</v>
      </c>
      <c r="G1" s="2" t="str">
        <f>Financials!AA1</f>
        <v>FY2020</v>
      </c>
      <c r="H1" s="2" t="str">
        <f>Financials!AF1</f>
        <v>FY2021</v>
      </c>
      <c r="I1" s="2" t="str">
        <f>Financials!AK1</f>
        <v>FY2022</v>
      </c>
      <c r="J1" s="2" t="str">
        <f>Financials!AP1</f>
        <v>FY2023</v>
      </c>
      <c r="K1" s="2" t="str">
        <f>Financials!AU1</f>
        <v>FY2024</v>
      </c>
    </row>
    <row r="2" spans="1:11" x14ac:dyDescent="0.25">
      <c r="A2" s="76"/>
      <c r="B2" s="76"/>
      <c r="C2" s="1" t="str">
        <f>Financials!G3</f>
        <v>A</v>
      </c>
      <c r="D2" s="1" t="str">
        <f>Financials!L3</f>
        <v>A</v>
      </c>
      <c r="E2" s="1" t="str">
        <f>Financials!Q3</f>
        <v>A</v>
      </c>
      <c r="F2" s="2" t="str">
        <f>Financials!V3</f>
        <v>F</v>
      </c>
      <c r="G2" s="2" t="str">
        <f>Financials!AA3</f>
        <v>F</v>
      </c>
      <c r="H2" s="2" t="str">
        <f>Financials!AF3</f>
        <v>F</v>
      </c>
      <c r="I2" s="2" t="str">
        <f>Financials!AK3</f>
        <v>F</v>
      </c>
      <c r="J2" s="2" t="str">
        <f>Financials!AP3</f>
        <v>F</v>
      </c>
      <c r="K2" s="2" t="str">
        <f>Financials!AU3</f>
        <v>F</v>
      </c>
    </row>
    <row r="4" spans="1:11" x14ac:dyDescent="0.25">
      <c r="A4" s="30" t="s">
        <v>156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6" spans="1:11" x14ac:dyDescent="0.25">
      <c r="A6" s="9" t="s">
        <v>48</v>
      </c>
      <c r="B6" s="9" t="s">
        <v>146</v>
      </c>
      <c r="C6" s="10">
        <f t="shared" ref="C6:K10" si="0">INDEX(data,MATCH($A6,data_row,0),MATCH(C$1,data_column,0))</f>
        <v>53694.5</v>
      </c>
      <c r="D6" s="10">
        <f t="shared" si="0"/>
        <v>56167.899999999994</v>
      </c>
      <c r="E6" s="10">
        <f t="shared" si="0"/>
        <v>60870</v>
      </c>
      <c r="F6" s="10">
        <f t="shared" si="0"/>
        <v>72138.537065858414</v>
      </c>
      <c r="G6" s="10">
        <f t="shared" si="0"/>
        <v>77147.989457733551</v>
      </c>
      <c r="H6" s="10">
        <f t="shared" si="0"/>
        <v>84365.218941913161</v>
      </c>
      <c r="I6" s="10">
        <f t="shared" si="0"/>
        <v>90224.691363646591</v>
      </c>
      <c r="J6" s="10">
        <f t="shared" si="0"/>
        <v>96507.612061400418</v>
      </c>
      <c r="K6" s="10">
        <f t="shared" si="0"/>
        <v>103245.54208558812</v>
      </c>
    </row>
    <row r="7" spans="1:11" x14ac:dyDescent="0.25">
      <c r="A7" s="9" t="s">
        <v>55</v>
      </c>
      <c r="B7" s="9" t="s">
        <v>146</v>
      </c>
      <c r="C7" s="10">
        <f t="shared" si="0"/>
        <v>27831.5</v>
      </c>
      <c r="D7" s="10">
        <f t="shared" si="0"/>
        <v>29772.299999999992</v>
      </c>
      <c r="E7" s="10">
        <f t="shared" si="0"/>
        <v>31993.500000000004</v>
      </c>
      <c r="F7" s="10">
        <f t="shared" si="0"/>
        <v>35544.92039816561</v>
      </c>
      <c r="G7" s="10">
        <f t="shared" si="0"/>
        <v>39345.474623444112</v>
      </c>
      <c r="H7" s="10">
        <f t="shared" si="0"/>
        <v>43026.261660375712</v>
      </c>
      <c r="I7" s="10">
        <f t="shared" si="0"/>
        <v>46916.839509096229</v>
      </c>
      <c r="J7" s="10">
        <f t="shared" si="0"/>
        <v>50183.958271928226</v>
      </c>
      <c r="K7" s="10">
        <f t="shared" si="0"/>
        <v>53687.68188450583</v>
      </c>
    </row>
    <row r="8" spans="1:11" x14ac:dyDescent="0.25">
      <c r="A8" s="9" t="s">
        <v>58</v>
      </c>
      <c r="B8" s="9" t="s">
        <v>146</v>
      </c>
      <c r="C8" s="10">
        <f t="shared" si="0"/>
        <v>11787.099999999999</v>
      </c>
      <c r="D8" s="10">
        <f t="shared" si="0"/>
        <v>12655.999999999991</v>
      </c>
      <c r="E8" s="10">
        <f t="shared" si="0"/>
        <v>13412.200000000003</v>
      </c>
      <c r="F8" s="10">
        <f t="shared" si="0"/>
        <v>14323.97961189647</v>
      </c>
      <c r="G8" s="10">
        <f t="shared" si="0"/>
        <v>15439.733286047485</v>
      </c>
      <c r="H8" s="10">
        <f t="shared" si="0"/>
        <v>16819.741326605526</v>
      </c>
      <c r="I8" s="10">
        <f t="shared" si="0"/>
        <v>17984.136611555081</v>
      </c>
      <c r="J8" s="10">
        <f t="shared" si="0"/>
        <v>19236.752864115424</v>
      </c>
      <c r="K8" s="10">
        <f t="shared" si="0"/>
        <v>20580.355901404113</v>
      </c>
    </row>
    <row r="9" spans="1:11" x14ac:dyDescent="0.25">
      <c r="A9" s="9" t="s">
        <v>60</v>
      </c>
      <c r="B9" s="9" t="s">
        <v>146</v>
      </c>
      <c r="C9" s="10">
        <f t="shared" si="0"/>
        <v>10455.799999999999</v>
      </c>
      <c r="D9" s="10">
        <f t="shared" si="0"/>
        <v>11504.599999999991</v>
      </c>
      <c r="E9" s="10">
        <f t="shared" si="0"/>
        <v>12213.400000000003</v>
      </c>
      <c r="F9" s="10">
        <f t="shared" si="0"/>
        <v>13062.090889256064</v>
      </c>
      <c r="G9" s="10">
        <f t="shared" si="0"/>
        <v>14139.303133200661</v>
      </c>
      <c r="H9" s="10">
        <f t="shared" si="0"/>
        <v>15447.22275100373</v>
      </c>
      <c r="I9" s="10">
        <f t="shared" si="0"/>
        <v>16546.53982940425</v>
      </c>
      <c r="J9" s="10">
        <f t="shared" si="0"/>
        <v>17739.964460266387</v>
      </c>
      <c r="K9" s="10">
        <f t="shared" si="0"/>
        <v>19020.737310962595</v>
      </c>
    </row>
    <row r="10" spans="1:11" x14ac:dyDescent="0.25">
      <c r="A10" s="9" t="s">
        <v>75</v>
      </c>
      <c r="B10" s="9" t="s">
        <v>146</v>
      </c>
      <c r="C10" s="10">
        <f t="shared" si="0"/>
        <v>7555.4999999999964</v>
      </c>
      <c r="D10" s="10">
        <f t="shared" si="0"/>
        <v>8599.8999999999924</v>
      </c>
      <c r="E10" s="10">
        <f t="shared" si="0"/>
        <v>9623.5000000000036</v>
      </c>
      <c r="F10" s="10">
        <f t="shared" si="0"/>
        <v>9289.6962719098792</v>
      </c>
      <c r="G10" s="10">
        <f t="shared" si="0"/>
        <v>10405.061372724022</v>
      </c>
      <c r="H10" s="10">
        <f t="shared" si="0"/>
        <v>11307.300650232846</v>
      </c>
      <c r="I10" s="10">
        <f t="shared" si="0"/>
        <v>12064.543749336421</v>
      </c>
      <c r="J10" s="10">
        <f t="shared" si="0"/>
        <v>12886.049776096073</v>
      </c>
      <c r="K10" s="10">
        <f t="shared" si="0"/>
        <v>13767.551373046992</v>
      </c>
    </row>
    <row r="11" spans="1:11" x14ac:dyDescent="0.25">
      <c r="A11" s="9" t="s">
        <v>264</v>
      </c>
      <c r="B11" s="9" t="s">
        <v>146</v>
      </c>
      <c r="C11" s="10">
        <f>Financials!G49-Financials!G38</f>
        <v>7603.5999999999967</v>
      </c>
      <c r="D11" s="10">
        <f>Financials!L49-Financials!L38</f>
        <v>8657.9999999999927</v>
      </c>
      <c r="E11" s="10">
        <f>Financials!Q49-Financials!Q38</f>
        <v>9623.5000000000036</v>
      </c>
      <c r="F11" s="10">
        <f>Financials!V49-Financials!V38</f>
        <v>9289.6962719098792</v>
      </c>
      <c r="G11" s="10">
        <f>Financials!AA49-Financials!AA38</f>
        <v>10405.061372724022</v>
      </c>
      <c r="H11" s="10">
        <f>Financials!AF49-Financials!AF38</f>
        <v>11307.300650232846</v>
      </c>
      <c r="I11" s="10">
        <f>Financials!AK49-Financials!AK38</f>
        <v>12064.543749336421</v>
      </c>
      <c r="J11" s="10">
        <f>Financials!AP49-Financials!AP38</f>
        <v>12886.049776096073</v>
      </c>
      <c r="K11" s="10">
        <f>Financials!AU49-Financials!AU38</f>
        <v>13767.551373046992</v>
      </c>
    </row>
    <row r="12" spans="1:11" x14ac:dyDescent="0.25">
      <c r="A12" s="9" t="s">
        <v>265</v>
      </c>
      <c r="B12" s="9" t="s">
        <v>155</v>
      </c>
      <c r="C12" s="10">
        <f>C11/Financials!G55</f>
        <v>14.830505168714641</v>
      </c>
      <c r="D12" s="10">
        <f>D11/Financials!L55</f>
        <v>16.881397097091295</v>
      </c>
      <c r="E12" s="10">
        <f>E11/Financials!Q55</f>
        <v>18.813352231073758</v>
      </c>
      <c r="F12" s="10">
        <f>F11/Financials!V55</f>
        <v>18.289503906895465</v>
      </c>
      <c r="G12" s="10">
        <f>G11/Financials!AA55</f>
        <v>20.482404277015789</v>
      </c>
      <c r="H12" s="10">
        <f>H11/Financials!AF55</f>
        <v>22.258465846915051</v>
      </c>
      <c r="I12" s="10">
        <f>I11/Financials!AK55</f>
        <v>23.749101868772481</v>
      </c>
      <c r="J12" s="10">
        <f>J11/Financials!AP55</f>
        <v>25.366239716724554</v>
      </c>
      <c r="K12" s="10">
        <f>K11/Financials!AU55</f>
        <v>27.101479080801166</v>
      </c>
    </row>
    <row r="14" spans="1:11" x14ac:dyDescent="0.25">
      <c r="A14" s="30" t="s">
        <v>77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6" spans="1:11" x14ac:dyDescent="0.25">
      <c r="A16" s="9" t="s">
        <v>170</v>
      </c>
      <c r="B16" s="9" t="s">
        <v>146</v>
      </c>
      <c r="C16" s="10">
        <f t="shared" ref="C16:K23" si="1">INDEX(data,MATCH($A16,data_row,0),MATCH(C$1,data_column,0))</f>
        <v>1319.4</v>
      </c>
      <c r="D16" s="10">
        <f t="shared" si="1"/>
        <v>999.40000000000009</v>
      </c>
      <c r="E16" s="10">
        <f t="shared" si="1"/>
        <v>1635.8000000000002</v>
      </c>
      <c r="F16" s="10">
        <f t="shared" si="1"/>
        <v>7413.7113182933208</v>
      </c>
      <c r="G16" s="10">
        <f t="shared" si="1"/>
        <v>13113.522108975216</v>
      </c>
      <c r="H16" s="10">
        <f t="shared" si="1"/>
        <v>18935.507065803042</v>
      </c>
      <c r="I16" s="10">
        <f t="shared" si="1"/>
        <v>26211.863079279312</v>
      </c>
      <c r="J16" s="10">
        <f t="shared" si="1"/>
        <v>33424.516758810139</v>
      </c>
      <c r="K16" s="10">
        <f t="shared" si="1"/>
        <v>41388.038618334853</v>
      </c>
    </row>
    <row r="17" spans="1:11" x14ac:dyDescent="0.25">
      <c r="A17" s="9" t="s">
        <v>84</v>
      </c>
      <c r="B17" s="9" t="s">
        <v>146</v>
      </c>
      <c r="C17" s="10">
        <f t="shared" si="1"/>
        <v>15074.8</v>
      </c>
      <c r="D17" s="10">
        <f t="shared" si="1"/>
        <v>9368.2999999999993</v>
      </c>
      <c r="E17" s="10">
        <f t="shared" si="1"/>
        <v>10303.200000000001</v>
      </c>
      <c r="F17" s="10">
        <f t="shared" si="1"/>
        <v>10941.311277359595</v>
      </c>
      <c r="G17" s="10">
        <f t="shared" si="1"/>
        <v>11740.881124512771</v>
      </c>
      <c r="H17" s="10">
        <f t="shared" si="1"/>
        <v>12468.362548910975</v>
      </c>
      <c r="I17" s="10">
        <f t="shared" si="1"/>
        <v>13130.765766760143</v>
      </c>
      <c r="J17" s="10">
        <f t="shared" si="1"/>
        <v>13833.977362911104</v>
      </c>
      <c r="K17" s="10">
        <f t="shared" si="1"/>
        <v>14474.358772469586</v>
      </c>
    </row>
    <row r="18" spans="1:11" x14ac:dyDescent="0.25">
      <c r="A18" s="9" t="s">
        <v>91</v>
      </c>
      <c r="B18" s="9" t="s">
        <v>146</v>
      </c>
      <c r="C18" s="10">
        <f t="shared" si="1"/>
        <v>39081.899999999994</v>
      </c>
      <c r="D18" s="10">
        <f t="shared" si="1"/>
        <v>47741.9</v>
      </c>
      <c r="E18" s="10">
        <f t="shared" si="1"/>
        <v>52044.6</v>
      </c>
      <c r="F18" s="10">
        <f t="shared" si="1"/>
        <v>59853.760418338265</v>
      </c>
      <c r="G18" s="10">
        <f t="shared" si="1"/>
        <v>67736.620916954809</v>
      </c>
      <c r="H18" s="10">
        <f t="shared" si="1"/>
        <v>76774.04807209046</v>
      </c>
      <c r="I18" s="10">
        <f t="shared" si="1"/>
        <v>86029.828418447156</v>
      </c>
      <c r="J18" s="10">
        <f t="shared" si="1"/>
        <v>95943.539040878284</v>
      </c>
      <c r="K18" s="10">
        <f t="shared" si="1"/>
        <v>106548.36872597648</v>
      </c>
    </row>
    <row r="19" spans="1:11" x14ac:dyDescent="0.25">
      <c r="A19" s="3" t="s">
        <v>171</v>
      </c>
      <c r="B19" s="9" t="s">
        <v>146</v>
      </c>
      <c r="C19" s="10">
        <f t="shared" si="1"/>
        <v>749.2</v>
      </c>
      <c r="D19" s="10">
        <f t="shared" si="1"/>
        <v>926.6</v>
      </c>
      <c r="E19" s="10">
        <f t="shared" si="1"/>
        <v>1154.4000000000001</v>
      </c>
      <c r="F19" s="10">
        <f t="shared" si="1"/>
        <v>1154.4000000000001</v>
      </c>
      <c r="G19" s="10">
        <f t="shared" si="1"/>
        <v>1154.4000000000001</v>
      </c>
      <c r="H19" s="10">
        <f t="shared" si="1"/>
        <v>1154.4000000000001</v>
      </c>
      <c r="I19" s="10">
        <f t="shared" si="1"/>
        <v>1154.4000000000001</v>
      </c>
      <c r="J19" s="10">
        <f t="shared" si="1"/>
        <v>1154.4000000000001</v>
      </c>
      <c r="K19" s="10">
        <f t="shared" si="1"/>
        <v>1154.4000000000001</v>
      </c>
    </row>
    <row r="20" spans="1:11" x14ac:dyDescent="0.25">
      <c r="A20" s="3" t="s">
        <v>95</v>
      </c>
      <c r="B20" s="9" t="s">
        <v>146</v>
      </c>
      <c r="C20" s="10">
        <f t="shared" si="1"/>
        <v>93.6</v>
      </c>
      <c r="D20" s="10">
        <f t="shared" si="1"/>
        <v>48.5</v>
      </c>
      <c r="E20" s="10">
        <f t="shared" si="1"/>
        <v>71.099999999999994</v>
      </c>
      <c r="F20" s="10">
        <f t="shared" si="1"/>
        <v>71.099999999999994</v>
      </c>
      <c r="G20" s="10">
        <f t="shared" si="1"/>
        <v>71.099999999999994</v>
      </c>
      <c r="H20" s="10">
        <f t="shared" si="1"/>
        <v>71.099999999999994</v>
      </c>
      <c r="I20" s="10">
        <f t="shared" si="1"/>
        <v>71.099999999999994</v>
      </c>
      <c r="J20" s="10">
        <f t="shared" si="1"/>
        <v>71.099999999999994</v>
      </c>
      <c r="K20" s="10">
        <f t="shared" si="1"/>
        <v>71.099999999999994</v>
      </c>
    </row>
    <row r="21" spans="1:11" x14ac:dyDescent="0.25">
      <c r="A21" s="3" t="s">
        <v>173</v>
      </c>
      <c r="B21" s="9" t="s">
        <v>146</v>
      </c>
      <c r="C21" s="10">
        <f t="shared" si="1"/>
        <v>10825.5</v>
      </c>
      <c r="D21" s="10">
        <f t="shared" si="1"/>
        <v>11759.599999999999</v>
      </c>
      <c r="E21" s="10">
        <f t="shared" si="1"/>
        <v>14554.099999999999</v>
      </c>
      <c r="F21" s="10">
        <f t="shared" si="1"/>
        <v>16093.724126436813</v>
      </c>
      <c r="G21" s="10">
        <f t="shared" si="1"/>
        <v>16642.243632133639</v>
      </c>
      <c r="H21" s="10">
        <f t="shared" si="1"/>
        <v>17812.65485091411</v>
      </c>
      <c r="I21" s="10">
        <f t="shared" si="1"/>
        <v>18743.385182833335</v>
      </c>
      <c r="J21" s="10">
        <f t="shared" si="1"/>
        <v>19760.91698127603</v>
      </c>
      <c r="K21" s="10">
        <f t="shared" si="1"/>
        <v>20859.730597343321</v>
      </c>
    </row>
    <row r="22" spans="1:11" x14ac:dyDescent="0.25">
      <c r="A22" s="9" t="s">
        <v>172</v>
      </c>
      <c r="B22" s="9" t="s">
        <v>146</v>
      </c>
      <c r="C22" s="10">
        <f t="shared" si="1"/>
        <v>512.70000000000005</v>
      </c>
      <c r="D22" s="10">
        <f t="shared" si="1"/>
        <v>512.70000000000005</v>
      </c>
      <c r="E22" s="10">
        <f t="shared" si="1"/>
        <v>507.8</v>
      </c>
      <c r="F22" s="10">
        <f t="shared" si="1"/>
        <v>507.8</v>
      </c>
      <c r="G22" s="10">
        <f t="shared" si="1"/>
        <v>507.8</v>
      </c>
      <c r="H22" s="10">
        <f t="shared" si="1"/>
        <v>507.8</v>
      </c>
      <c r="I22" s="10">
        <f t="shared" si="1"/>
        <v>507.8</v>
      </c>
      <c r="J22" s="10">
        <f t="shared" si="1"/>
        <v>507.8</v>
      </c>
      <c r="K22" s="10">
        <f t="shared" si="1"/>
        <v>507.8</v>
      </c>
    </row>
    <row r="23" spans="1:11" x14ac:dyDescent="0.25">
      <c r="A23" s="3" t="s">
        <v>174</v>
      </c>
      <c r="B23" s="9" t="s">
        <v>146</v>
      </c>
      <c r="C23" s="10">
        <f t="shared" si="1"/>
        <v>28256.400000000001</v>
      </c>
      <c r="D23" s="10">
        <f t="shared" si="1"/>
        <v>35982.299999999996</v>
      </c>
      <c r="E23" s="10">
        <f t="shared" si="1"/>
        <v>37490.5</v>
      </c>
      <c r="F23" s="10">
        <f t="shared" si="1"/>
        <v>43760.036291901451</v>
      </c>
      <c r="G23" s="10">
        <f t="shared" si="1"/>
        <v>51094.377284821167</v>
      </c>
      <c r="H23" s="10">
        <f t="shared" si="1"/>
        <v>58961.393221176346</v>
      </c>
      <c r="I23" s="10">
        <f t="shared" si="1"/>
        <v>67286.443235613813</v>
      </c>
      <c r="J23" s="10">
        <f t="shared" si="1"/>
        <v>76182.622059602261</v>
      </c>
      <c r="K23" s="10">
        <f t="shared" si="1"/>
        <v>85688.63812863316</v>
      </c>
    </row>
    <row r="25" spans="1:11" x14ac:dyDescent="0.25">
      <c r="A25" s="30" t="s">
        <v>157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7" spans="1:11" x14ac:dyDescent="0.25">
      <c r="A27" s="3" t="s">
        <v>110</v>
      </c>
      <c r="B27" s="9" t="s">
        <v>146</v>
      </c>
      <c r="C27" s="10">
        <f t="shared" ref="C27:K32" si="2">INDEX(data,MATCH($A27,data_row,0),MATCH(C$1,data_column,0))</f>
        <v>9074.7000000000007</v>
      </c>
      <c r="D27" s="10">
        <f t="shared" si="2"/>
        <v>7937.5</v>
      </c>
      <c r="E27" s="10">
        <f t="shared" si="2"/>
        <v>7964.2999999999993</v>
      </c>
      <c r="F27" s="10">
        <f t="shared" si="2"/>
        <v>10724.711318293321</v>
      </c>
      <c r="G27" s="10">
        <f t="shared" si="2"/>
        <v>10912.318565557365</v>
      </c>
      <c r="H27" s="10">
        <f t="shared" si="2"/>
        <v>11407.680516690372</v>
      </c>
      <c r="I27" s="10">
        <f t="shared" si="2"/>
        <v>13164.301731304275</v>
      </c>
      <c r="J27" s="10">
        <f t="shared" si="2"/>
        <v>13454.275835558528</v>
      </c>
      <c r="K27" s="10">
        <f t="shared" si="2"/>
        <v>14480.348534516897</v>
      </c>
    </row>
    <row r="28" spans="1:11" x14ac:dyDescent="0.25">
      <c r="A28" s="3" t="s">
        <v>111</v>
      </c>
      <c r="B28" s="9" t="s">
        <v>146</v>
      </c>
      <c r="C28" s="10">
        <f t="shared" si="2"/>
        <v>-1704.3</v>
      </c>
      <c r="D28" s="10">
        <f t="shared" si="2"/>
        <v>-1330.6</v>
      </c>
      <c r="E28" s="10">
        <f t="shared" si="2"/>
        <v>-1768.3</v>
      </c>
      <c r="F28" s="10">
        <f t="shared" si="2"/>
        <v>-1900</v>
      </c>
      <c r="G28" s="10">
        <f t="shared" si="2"/>
        <v>-2100</v>
      </c>
      <c r="H28" s="10">
        <f t="shared" si="2"/>
        <v>-2100</v>
      </c>
      <c r="I28" s="10">
        <f t="shared" si="2"/>
        <v>-2100</v>
      </c>
      <c r="J28" s="10">
        <f t="shared" si="2"/>
        <v>-2200</v>
      </c>
      <c r="K28" s="10">
        <f t="shared" si="2"/>
        <v>-2200</v>
      </c>
    </row>
    <row r="29" spans="1:11" x14ac:dyDescent="0.25">
      <c r="A29" s="3" t="s">
        <v>117</v>
      </c>
      <c r="B29" s="9" t="s">
        <v>146</v>
      </c>
      <c r="C29" s="10">
        <f t="shared" si="2"/>
        <v>-4911.4000000000033</v>
      </c>
      <c r="D29" s="10">
        <f t="shared" si="2"/>
        <v>-8789.7000000000025</v>
      </c>
      <c r="E29" s="10">
        <f t="shared" si="2"/>
        <v>392.59999999999928</v>
      </c>
      <c r="F29" s="10">
        <f t="shared" si="2"/>
        <v>-1900</v>
      </c>
      <c r="G29" s="10">
        <f t="shared" si="2"/>
        <v>-2100</v>
      </c>
      <c r="H29" s="10">
        <f t="shared" si="2"/>
        <v>-2100</v>
      </c>
      <c r="I29" s="10">
        <f t="shared" si="2"/>
        <v>-2100</v>
      </c>
      <c r="J29" s="10">
        <f t="shared" si="2"/>
        <v>-2200</v>
      </c>
      <c r="K29" s="10">
        <f t="shared" si="2"/>
        <v>-2200</v>
      </c>
    </row>
    <row r="30" spans="1:11" x14ac:dyDescent="0.25">
      <c r="A30" s="3" t="s">
        <v>118</v>
      </c>
      <c r="B30" s="9" t="s">
        <v>146</v>
      </c>
      <c r="C30" s="10">
        <f t="shared" si="2"/>
        <v>-4032.2</v>
      </c>
      <c r="D30" s="10">
        <f t="shared" si="2"/>
        <v>-316.3</v>
      </c>
      <c r="E30" s="10">
        <f t="shared" si="2"/>
        <v>-2930</v>
      </c>
      <c r="F30" s="10">
        <f t="shared" si="2"/>
        <v>-3046.8</v>
      </c>
      <c r="G30" s="10">
        <f t="shared" si="2"/>
        <v>-3112.5077748754702</v>
      </c>
      <c r="H30" s="10">
        <f t="shared" si="2"/>
        <v>-3485.6955598625473</v>
      </c>
      <c r="I30" s="10">
        <f t="shared" si="2"/>
        <v>-3787.9457178280036</v>
      </c>
      <c r="J30" s="10">
        <f t="shared" si="2"/>
        <v>-4041.6221560277008</v>
      </c>
      <c r="K30" s="10">
        <f t="shared" si="2"/>
        <v>-4316.826674992185</v>
      </c>
    </row>
    <row r="31" spans="1:11" x14ac:dyDescent="0.25">
      <c r="A31" s="3" t="s">
        <v>120</v>
      </c>
      <c r="B31" s="9" t="s">
        <v>146</v>
      </c>
      <c r="C31" s="10">
        <f t="shared" si="2"/>
        <v>116.2</v>
      </c>
      <c r="D31" s="10">
        <f t="shared" si="2"/>
        <v>55.1</v>
      </c>
      <c r="E31" s="10">
        <f t="shared" si="2"/>
        <v>-4.2999999999999972</v>
      </c>
      <c r="F31" s="10">
        <f t="shared" si="2"/>
        <v>0</v>
      </c>
      <c r="G31" s="10">
        <f t="shared" si="2"/>
        <v>0</v>
      </c>
      <c r="H31" s="10">
        <f t="shared" si="2"/>
        <v>0</v>
      </c>
      <c r="I31" s="10">
        <f t="shared" si="2"/>
        <v>0</v>
      </c>
      <c r="J31" s="10">
        <f t="shared" si="2"/>
        <v>0</v>
      </c>
      <c r="K31" s="10">
        <f t="shared" si="2"/>
        <v>0</v>
      </c>
    </row>
    <row r="32" spans="1:11" x14ac:dyDescent="0.25">
      <c r="A32" s="3" t="s">
        <v>122</v>
      </c>
      <c r="B32" s="9" t="s">
        <v>146</v>
      </c>
      <c r="C32" s="10">
        <f t="shared" si="2"/>
        <v>-3710.6</v>
      </c>
      <c r="D32" s="10">
        <f t="shared" si="2"/>
        <v>406.59999999999997</v>
      </c>
      <c r="E32" s="10">
        <f t="shared" si="2"/>
        <v>-7897.5</v>
      </c>
      <c r="F32" s="10">
        <f t="shared" si="2"/>
        <v>-3046.8</v>
      </c>
      <c r="G32" s="10">
        <f t="shared" si="2"/>
        <v>-3112.5077748754702</v>
      </c>
      <c r="H32" s="10">
        <f t="shared" si="2"/>
        <v>-3485.6955598625473</v>
      </c>
      <c r="I32" s="10">
        <f t="shared" si="2"/>
        <v>-3787.9457178280036</v>
      </c>
      <c r="J32" s="10">
        <f t="shared" si="2"/>
        <v>-4041.6221560277008</v>
      </c>
      <c r="K32" s="10">
        <f t="shared" si="2"/>
        <v>-4316.826674992185</v>
      </c>
    </row>
    <row r="34" spans="1:11" x14ac:dyDescent="0.25">
      <c r="A34" s="30" t="s">
        <v>175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6" spans="1:11" x14ac:dyDescent="0.25">
      <c r="A36" s="9" t="s">
        <v>176</v>
      </c>
      <c r="B36" s="9" t="s">
        <v>145</v>
      </c>
      <c r="C36" s="42" t="s">
        <v>147</v>
      </c>
      <c r="D36" s="26">
        <f t="shared" ref="D36:K36" si="3">IFERROR(D6/C6-1,"na")</f>
        <v>4.6064308262484976E-2</v>
      </c>
      <c r="E36" s="26">
        <f t="shared" si="3"/>
        <v>8.3715075692700092E-2</v>
      </c>
      <c r="F36" s="26">
        <f t="shared" si="3"/>
        <v>0.18512464376307558</v>
      </c>
      <c r="G36" s="26">
        <f t="shared" si="3"/>
        <v>6.9442112297090075E-2</v>
      </c>
      <c r="H36" s="26">
        <f t="shared" si="3"/>
        <v>9.3550454586164733E-2</v>
      </c>
      <c r="I36" s="26">
        <f t="shared" si="3"/>
        <v>6.9453650393152877E-2</v>
      </c>
      <c r="J36" s="26">
        <f t="shared" si="3"/>
        <v>6.9636377833987684E-2</v>
      </c>
      <c r="K36" s="26">
        <f t="shared" si="3"/>
        <v>6.9817601744211366E-2</v>
      </c>
    </row>
    <row r="37" spans="1:11" x14ac:dyDescent="0.25">
      <c r="A37" s="9" t="s">
        <v>177</v>
      </c>
      <c r="B37" s="9" t="s">
        <v>145</v>
      </c>
      <c r="C37" s="26">
        <f t="shared" ref="C37:K37" si="4">IFERROR(C7/C$6,"na")</f>
        <v>0.51833055527102401</v>
      </c>
      <c r="D37" s="26">
        <f t="shared" si="4"/>
        <v>0.53005898386800998</v>
      </c>
      <c r="E37" s="26">
        <f t="shared" si="4"/>
        <v>0.52560374568753088</v>
      </c>
      <c r="F37" s="26">
        <f t="shared" si="4"/>
        <v>0.4927313727711875</v>
      </c>
      <c r="G37" s="26">
        <f t="shared" si="4"/>
        <v>0.51</v>
      </c>
      <c r="H37" s="26">
        <f t="shared" si="4"/>
        <v>0.51</v>
      </c>
      <c r="I37" s="26">
        <f t="shared" si="4"/>
        <v>0.52</v>
      </c>
      <c r="J37" s="26">
        <f t="shared" si="4"/>
        <v>0.52000000000000013</v>
      </c>
      <c r="K37" s="26">
        <f t="shared" si="4"/>
        <v>0.52</v>
      </c>
    </row>
    <row r="38" spans="1:11" x14ac:dyDescent="0.25">
      <c r="A38" s="9" t="s">
        <v>150</v>
      </c>
      <c r="B38" s="9" t="s">
        <v>145</v>
      </c>
      <c r="C38" s="26">
        <f t="shared" ref="C38:K38" si="5">IFERROR(C8/C$6,"na")</f>
        <v>0.21952155248675373</v>
      </c>
      <c r="D38" s="26">
        <f t="shared" si="5"/>
        <v>0.22532442907781833</v>
      </c>
      <c r="E38" s="26">
        <f t="shared" si="5"/>
        <v>0.22034171184491544</v>
      </c>
      <c r="F38" s="26">
        <f t="shared" si="5"/>
        <v>0.19856210278868677</v>
      </c>
      <c r="G38" s="26">
        <f t="shared" si="5"/>
        <v>0.20013137600308206</v>
      </c>
      <c r="H38" s="26">
        <f t="shared" si="5"/>
        <v>0.19936819387840615</v>
      </c>
      <c r="I38" s="26">
        <f t="shared" si="5"/>
        <v>0.19932610840496889</v>
      </c>
      <c r="J38" s="26">
        <f t="shared" si="5"/>
        <v>0.19932886591242718</v>
      </c>
      <c r="K38" s="26">
        <f t="shared" si="5"/>
        <v>0.19933408731917435</v>
      </c>
    </row>
    <row r="39" spans="1:11" x14ac:dyDescent="0.25">
      <c r="A39" s="9" t="s">
        <v>151</v>
      </c>
      <c r="B39" s="9" t="s">
        <v>145</v>
      </c>
      <c r="C39" s="26">
        <f t="shared" ref="C39:K39" si="6">IFERROR(C9/C$6,"na")</f>
        <v>0.19472757917477579</v>
      </c>
      <c r="D39" s="26">
        <f t="shared" si="6"/>
        <v>0.20482517594569127</v>
      </c>
      <c r="E39" s="26">
        <f t="shared" si="6"/>
        <v>0.20064728109084939</v>
      </c>
      <c r="F39" s="26">
        <f t="shared" si="6"/>
        <v>0.181069528445401</v>
      </c>
      <c r="G39" s="26">
        <f t="shared" si="6"/>
        <v>0.18327506954600609</v>
      </c>
      <c r="H39" s="26">
        <f t="shared" si="6"/>
        <v>0.18309942112091709</v>
      </c>
      <c r="I39" s="26">
        <f t="shared" si="6"/>
        <v>0.18339258998087518</v>
      </c>
      <c r="J39" s="26">
        <f t="shared" si="6"/>
        <v>0.18381932866580311</v>
      </c>
      <c r="K39" s="26">
        <f t="shared" si="6"/>
        <v>0.18422817030874661</v>
      </c>
    </row>
    <row r="40" spans="1:11" x14ac:dyDescent="0.25">
      <c r="A40" s="9" t="s">
        <v>152</v>
      </c>
      <c r="B40" s="9" t="s">
        <v>145</v>
      </c>
      <c r="C40" s="26">
        <f t="shared" ref="C40:K40" si="7">IFERROR(C10/C$6,"na")</f>
        <v>0.14071273594129746</v>
      </c>
      <c r="D40" s="26">
        <f t="shared" si="7"/>
        <v>0.15311058451535473</v>
      </c>
      <c r="E40" s="26">
        <f t="shared" si="7"/>
        <v>0.15809922786265818</v>
      </c>
      <c r="F40" s="26">
        <f t="shared" si="7"/>
        <v>0.12877577851944669</v>
      </c>
      <c r="G40" s="26">
        <f t="shared" si="7"/>
        <v>0.13487145220323024</v>
      </c>
      <c r="H40" s="26">
        <f t="shared" si="7"/>
        <v>0.13402798916480152</v>
      </c>
      <c r="I40" s="26">
        <f t="shared" si="7"/>
        <v>0.13371665302473373</v>
      </c>
      <c r="J40" s="26">
        <f t="shared" si="7"/>
        <v>0.13352366202883215</v>
      </c>
      <c r="K40" s="26">
        <f t="shared" si="7"/>
        <v>0.13334765932686968</v>
      </c>
    </row>
    <row r="41" spans="1:11" x14ac:dyDescent="0.25">
      <c r="A41" s="9" t="s">
        <v>289</v>
      </c>
      <c r="B41" s="9" t="s">
        <v>145</v>
      </c>
      <c r="C41" s="26">
        <f t="shared" ref="C41:K41" si="8">IFERROR(C11/C$6,"na")</f>
        <v>0.14160854463678768</v>
      </c>
      <c r="D41" s="26">
        <f t="shared" si="8"/>
        <v>0.15414498316654163</v>
      </c>
      <c r="E41" s="26">
        <f t="shared" si="8"/>
        <v>0.15809922786265818</v>
      </c>
      <c r="F41" s="26">
        <f t="shared" si="8"/>
        <v>0.12877577851944669</v>
      </c>
      <c r="G41" s="26">
        <f t="shared" si="8"/>
        <v>0.13487145220323024</v>
      </c>
      <c r="H41" s="26">
        <f t="shared" si="8"/>
        <v>0.13402798916480152</v>
      </c>
      <c r="I41" s="26">
        <f t="shared" si="8"/>
        <v>0.13371665302473373</v>
      </c>
      <c r="J41" s="26">
        <f t="shared" si="8"/>
        <v>0.13352366202883215</v>
      </c>
      <c r="K41" s="26">
        <f t="shared" si="8"/>
        <v>0.13334765932686968</v>
      </c>
    </row>
    <row r="42" spans="1:11" x14ac:dyDescent="0.25">
      <c r="C42" s="26"/>
      <c r="D42" s="26"/>
      <c r="E42" s="26"/>
      <c r="F42" s="26"/>
      <c r="G42" s="26"/>
      <c r="H42" s="26"/>
      <c r="I42" s="26"/>
      <c r="J42" s="26"/>
      <c r="K42" s="26"/>
    </row>
    <row r="43" spans="1:11" x14ac:dyDescent="0.25">
      <c r="A43" s="9" t="s">
        <v>178</v>
      </c>
      <c r="B43" s="9" t="s">
        <v>292</v>
      </c>
      <c r="C43" s="75">
        <f>(C19+C20)/(Financials!G123+Financials!G124)</f>
        <v>3.0284845719049484E-2</v>
      </c>
      <c r="D43" s="75">
        <f>(D19+D20)/(Financials!L123+Financials!L124)</f>
        <v>2.8093497094421927E-2</v>
      </c>
      <c r="E43" s="75">
        <f>(E19+E20)/(Financials!Q123+Financials!Q124)</f>
        <v>3.4288927935893276E-2</v>
      </c>
      <c r="F43" s="75">
        <f>(F19+F20)/(Financials!V123+Financials!V124)</f>
        <v>2.9190180591416679E-2</v>
      </c>
      <c r="G43" s="75">
        <f>(G19+G20)/(Financials!AA123+Financials!AA124)</f>
        <v>2.4870195100422078E-2</v>
      </c>
      <c r="H43" s="75">
        <f>(H19+H20)/(Financials!AF123+Financials!AF124)</f>
        <v>2.1463303414412591E-2</v>
      </c>
      <c r="I43" s="75">
        <f>(I19+I20)/(Financials!AK123+Financials!AK124)</f>
        <v>1.874596944688086E-2</v>
      </c>
      <c r="J43" s="75">
        <f>(J19+J20)/(Financials!AP123+Financials!AP124)</f>
        <v>1.6512059933044734E-2</v>
      </c>
      <c r="K43" s="75">
        <f>(K19+K20)/(Financials!AU123+Financials!AU124)</f>
        <v>1.4646965935232098E-2</v>
      </c>
    </row>
    <row r="44" spans="1:11" x14ac:dyDescent="0.25">
      <c r="A44" s="9" t="s">
        <v>181</v>
      </c>
      <c r="B44" s="9" t="s">
        <v>155</v>
      </c>
      <c r="C44" s="82">
        <v>565.20000000000005</v>
      </c>
      <c r="D44" s="82">
        <v>671.4</v>
      </c>
      <c r="E44" s="82">
        <v>825.5</v>
      </c>
      <c r="F44" s="82">
        <v>1086</v>
      </c>
      <c r="G44" s="82">
        <f>rCP</f>
        <v>1104</v>
      </c>
      <c r="H44" s="82">
        <f>rCP</f>
        <v>1104</v>
      </c>
      <c r="I44" s="82">
        <f>rCP</f>
        <v>1104</v>
      </c>
      <c r="J44" s="82">
        <f>rCP</f>
        <v>1104</v>
      </c>
      <c r="K44" s="82">
        <f>rCP</f>
        <v>1104</v>
      </c>
    </row>
    <row r="45" spans="1:11" x14ac:dyDescent="0.25">
      <c r="A45" s="9" t="s">
        <v>129</v>
      </c>
      <c r="B45" s="9" t="s">
        <v>293</v>
      </c>
      <c r="C45" s="82">
        <f t="shared" ref="C45:K45" si="9">INDEX(data,MATCH($A45,data_row,0),MATCH(C$1,data_column,0))</f>
        <v>512.70000000000005</v>
      </c>
      <c r="D45" s="82">
        <f t="shared" si="9"/>
        <v>512.70000000000005</v>
      </c>
      <c r="E45" s="82">
        <f t="shared" si="9"/>
        <v>507.8</v>
      </c>
      <c r="F45" s="82">
        <f t="shared" si="9"/>
        <v>508</v>
      </c>
      <c r="G45" s="82">
        <f t="shared" si="9"/>
        <v>508</v>
      </c>
      <c r="H45" s="82">
        <f t="shared" si="9"/>
        <v>508</v>
      </c>
      <c r="I45" s="82">
        <f t="shared" si="9"/>
        <v>508</v>
      </c>
      <c r="J45" s="82">
        <f t="shared" si="9"/>
        <v>508</v>
      </c>
      <c r="K45" s="82">
        <f t="shared" si="9"/>
        <v>508</v>
      </c>
    </row>
    <row r="46" spans="1:11" s="8" customFormat="1" x14ac:dyDescent="0.25">
      <c r="A46" s="8" t="s">
        <v>180</v>
      </c>
      <c r="B46" s="8" t="s">
        <v>146</v>
      </c>
      <c r="C46" s="83">
        <f>C44*C45</f>
        <v>289778.04000000004</v>
      </c>
      <c r="D46" s="83">
        <f t="shared" ref="D46:K46" si="10">D44*D45</f>
        <v>344226.78</v>
      </c>
      <c r="E46" s="83">
        <f t="shared" si="10"/>
        <v>419188.9</v>
      </c>
      <c r="F46" s="83">
        <f t="shared" si="10"/>
        <v>551688</v>
      </c>
      <c r="G46" s="83">
        <f t="shared" si="10"/>
        <v>560832</v>
      </c>
      <c r="H46" s="83">
        <f t="shared" si="10"/>
        <v>560832</v>
      </c>
      <c r="I46" s="83">
        <f t="shared" si="10"/>
        <v>560832</v>
      </c>
      <c r="J46" s="83">
        <f t="shared" si="10"/>
        <v>560832</v>
      </c>
      <c r="K46" s="83">
        <f t="shared" si="10"/>
        <v>560832</v>
      </c>
    </row>
    <row r="47" spans="1:11" x14ac:dyDescent="0.25">
      <c r="A47" s="9" t="s">
        <v>247</v>
      </c>
      <c r="B47" s="9" t="s">
        <v>146</v>
      </c>
      <c r="C47" s="82">
        <f>Financials!G100+Financials!G113-Financials!G65</f>
        <v>-476.6</v>
      </c>
      <c r="D47" s="82">
        <f>Financials!L100+Financials!L113-Financials!L65</f>
        <v>-24.300000000000068</v>
      </c>
      <c r="E47" s="82">
        <f>Financials!Q100+Financials!Q113-Financials!Q65</f>
        <v>-410.30000000000018</v>
      </c>
      <c r="F47" s="82">
        <f>Financials!V100+Financials!V113-Financials!V65</f>
        <v>-6188.2113182933208</v>
      </c>
      <c r="G47" s="82">
        <f>Financials!AA100+Financials!AA113-Financials!AA65</f>
        <v>-11888.022108975216</v>
      </c>
      <c r="H47" s="82">
        <f>Financials!AF100+Financials!AF113-Financials!AF65</f>
        <v>-17710.007065803042</v>
      </c>
      <c r="I47" s="82">
        <f>Financials!AK100+Financials!AK113-Financials!AK65</f>
        <v>-24986.363079279312</v>
      </c>
      <c r="J47" s="82">
        <f>Financials!AP100+Financials!AP113-Financials!AP65</f>
        <v>-32199.016758810139</v>
      </c>
      <c r="K47" s="82">
        <f>Financials!AU100+Financials!AU113-Financials!AU65</f>
        <v>-40162.538618334853</v>
      </c>
    </row>
    <row r="48" spans="1:11" x14ac:dyDescent="0.25">
      <c r="A48" s="77" t="s">
        <v>244</v>
      </c>
      <c r="B48" s="9" t="s">
        <v>146</v>
      </c>
      <c r="C48" s="82">
        <f t="shared" ref="C48:K48" si="11">INDEX(data,MATCH($A48,data_row,0),MATCH(C$1,data_column,0))</f>
        <v>427.3</v>
      </c>
      <c r="D48" s="82">
        <f t="shared" si="11"/>
        <v>1273.2</v>
      </c>
      <c r="E48" s="82">
        <f t="shared" si="11"/>
        <v>1750.1</v>
      </c>
      <c r="F48" s="82">
        <f t="shared" si="11"/>
        <v>1776.7400199915585</v>
      </c>
      <c r="G48" s="82">
        <f t="shared" si="11"/>
        <v>1818.5274150627392</v>
      </c>
      <c r="H48" s="82">
        <f t="shared" si="11"/>
        <v>1863.93826104761</v>
      </c>
      <c r="I48" s="82">
        <f t="shared" si="11"/>
        <v>1912.3902439766721</v>
      </c>
      <c r="J48" s="82">
        <f t="shared" si="11"/>
        <v>1964.1414478967367</v>
      </c>
      <c r="K48" s="82">
        <f t="shared" si="11"/>
        <v>2019.4328188728291</v>
      </c>
    </row>
    <row r="49" spans="1:11" x14ac:dyDescent="0.25">
      <c r="A49" s="77" t="s">
        <v>245</v>
      </c>
      <c r="B49" s="9" t="s">
        <v>146</v>
      </c>
      <c r="C49" s="82">
        <f>Financials!G68+Financials!G86</f>
        <v>7467.9</v>
      </c>
      <c r="D49" s="82">
        <f>Financials!L68+Financials!L86</f>
        <v>14858.300000000001</v>
      </c>
      <c r="E49" s="82">
        <f>Financials!Q68+Financials!Q86</f>
        <v>12656.300000000001</v>
      </c>
      <c r="F49" s="82">
        <f>Financials!V68+Financials!V86</f>
        <v>12656.300000000001</v>
      </c>
      <c r="G49" s="82">
        <f>Financials!AA68+Financials!AA86</f>
        <v>12656.300000000001</v>
      </c>
      <c r="H49" s="82">
        <f>Financials!AF68+Financials!AF86</f>
        <v>12656.300000000001</v>
      </c>
      <c r="I49" s="82">
        <f>Financials!AK68+Financials!AK86</f>
        <v>12656.300000000001</v>
      </c>
      <c r="J49" s="82">
        <f>Financials!AP68+Financials!AP86</f>
        <v>12656.300000000001</v>
      </c>
      <c r="K49" s="82">
        <f>Financials!AU68+Financials!AU86</f>
        <v>12656.300000000001</v>
      </c>
    </row>
    <row r="50" spans="1:11" x14ac:dyDescent="0.25">
      <c r="A50" s="77" t="s">
        <v>85</v>
      </c>
      <c r="B50" s="9" t="s">
        <v>146</v>
      </c>
      <c r="C50" s="82">
        <f>Financials!G85</f>
        <v>0</v>
      </c>
      <c r="D50" s="82">
        <f>Financials!L85</f>
        <v>0</v>
      </c>
      <c r="E50" s="82">
        <f>Financials!Q85</f>
        <v>250.3</v>
      </c>
      <c r="F50" s="82">
        <f>Financials!V85</f>
        <v>272.7</v>
      </c>
      <c r="G50" s="82">
        <f>Financials!AA85</f>
        <v>312.7</v>
      </c>
      <c r="H50" s="82">
        <f>Financials!AF85</f>
        <v>352.7</v>
      </c>
      <c r="I50" s="82">
        <f>Financials!AK85</f>
        <v>392.7</v>
      </c>
      <c r="J50" s="82">
        <f>Financials!AP85</f>
        <v>432.7</v>
      </c>
      <c r="K50" s="82">
        <f>Financials!AU85</f>
        <v>472.7</v>
      </c>
    </row>
    <row r="51" spans="1:11" x14ac:dyDescent="0.25">
      <c r="A51" s="77" t="s">
        <v>246</v>
      </c>
      <c r="B51" s="9" t="s">
        <v>146</v>
      </c>
      <c r="C51" s="82">
        <f>Financials!G115</f>
        <v>0</v>
      </c>
      <c r="D51" s="82">
        <f>Financials!L115</f>
        <v>0</v>
      </c>
      <c r="E51" s="82">
        <f>Financials!Q115</f>
        <v>0</v>
      </c>
      <c r="F51" s="82">
        <f>Financials!V115</f>
        <v>0</v>
      </c>
      <c r="G51" s="82">
        <f>Financials!AA115</f>
        <v>0</v>
      </c>
      <c r="H51" s="82">
        <f>Financials!AF115</f>
        <v>0</v>
      </c>
      <c r="I51" s="82">
        <f>Financials!AK115</f>
        <v>0</v>
      </c>
      <c r="J51" s="82">
        <f>Financials!AP115</f>
        <v>0</v>
      </c>
      <c r="K51" s="82">
        <f>Financials!AU115</f>
        <v>0</v>
      </c>
    </row>
    <row r="52" spans="1:11" x14ac:dyDescent="0.25">
      <c r="A52" s="77" t="s">
        <v>248</v>
      </c>
      <c r="B52" s="9" t="s">
        <v>146</v>
      </c>
      <c r="C52" s="82">
        <f>Financials!G114</f>
        <v>292.7</v>
      </c>
      <c r="D52" s="82">
        <f>Financials!L114</f>
        <v>327.8</v>
      </c>
      <c r="E52" s="82">
        <f>Financials!Q114</f>
        <v>381.7</v>
      </c>
      <c r="F52" s="82">
        <f>Financials!V114</f>
        <v>381.7</v>
      </c>
      <c r="G52" s="82">
        <f>Financials!AA114</f>
        <v>381.7</v>
      </c>
      <c r="H52" s="82">
        <f>Financials!AF114</f>
        <v>381.7</v>
      </c>
      <c r="I52" s="82">
        <f>Financials!AK114</f>
        <v>381.7</v>
      </c>
      <c r="J52" s="82">
        <f>Financials!AP114</f>
        <v>381.7</v>
      </c>
      <c r="K52" s="82">
        <f>Financials!AU114</f>
        <v>381.7</v>
      </c>
    </row>
    <row r="53" spans="1:11" s="8" customFormat="1" x14ac:dyDescent="0.25">
      <c r="A53" s="80" t="s">
        <v>287</v>
      </c>
      <c r="B53" s="8" t="s">
        <v>146</v>
      </c>
      <c r="C53" s="83">
        <f>C46+C47+C48-C49-C50+C51+C52</f>
        <v>282553.54000000004</v>
      </c>
      <c r="D53" s="83">
        <f t="shared" ref="D53:K53" si="12">D46+D47+D48-D49-D50+D51+D52</f>
        <v>330945.18000000005</v>
      </c>
      <c r="E53" s="83">
        <f t="shared" si="12"/>
        <v>408003.80000000005</v>
      </c>
      <c r="F53" s="83">
        <f t="shared" si="12"/>
        <v>534729.22870169813</v>
      </c>
      <c r="G53" s="83">
        <f t="shared" si="12"/>
        <v>538175.2053060875</v>
      </c>
      <c r="H53" s="83">
        <f t="shared" si="12"/>
        <v>532358.6311952445</v>
      </c>
      <c r="I53" s="83">
        <f t="shared" si="12"/>
        <v>525090.72716469737</v>
      </c>
      <c r="J53" s="83">
        <f t="shared" si="12"/>
        <v>517889.82468908658</v>
      </c>
      <c r="K53" s="83">
        <f t="shared" si="12"/>
        <v>509941.59420053801</v>
      </c>
    </row>
    <row r="54" spans="1:11" s="8" customFormat="1" x14ac:dyDescent="0.25">
      <c r="A54" s="8" t="s">
        <v>182</v>
      </c>
      <c r="B54" s="8" t="s">
        <v>292</v>
      </c>
      <c r="C54" s="81">
        <f t="shared" ref="C54:K54" si="13">C53/C8</f>
        <v>23.971421299556301</v>
      </c>
      <c r="D54" s="81">
        <f t="shared" si="13"/>
        <v>26.149271491782578</v>
      </c>
      <c r="E54" s="81">
        <f t="shared" si="13"/>
        <v>30.420348637807368</v>
      </c>
      <c r="F54" s="81">
        <f t="shared" si="13"/>
        <v>37.331052067233493</v>
      </c>
      <c r="G54" s="81">
        <f t="shared" si="13"/>
        <v>34.85650919840846</v>
      </c>
      <c r="H54" s="81">
        <f t="shared" si="13"/>
        <v>31.650821547009034</v>
      </c>
      <c r="I54" s="81">
        <f t="shared" si="13"/>
        <v>29.1974387487314</v>
      </c>
      <c r="J54" s="81">
        <f t="shared" si="13"/>
        <v>26.921894165161696</v>
      </c>
      <c r="K54" s="81">
        <f t="shared" si="13"/>
        <v>24.778074618512637</v>
      </c>
    </row>
    <row r="55" spans="1:11" s="8" customFormat="1" x14ac:dyDescent="0.25">
      <c r="A55" s="8" t="s">
        <v>183</v>
      </c>
      <c r="B55" s="8" t="s">
        <v>292</v>
      </c>
      <c r="C55" s="81">
        <f t="shared" ref="C55:K55" si="14">C44/C12</f>
        <v>38.110637066652657</v>
      </c>
      <c r="D55" s="81">
        <f t="shared" si="14"/>
        <v>39.771589764669642</v>
      </c>
      <c r="E55" s="81">
        <f t="shared" si="14"/>
        <v>43.878410921182507</v>
      </c>
      <c r="F55" s="81">
        <f t="shared" si="14"/>
        <v>59.378319145690924</v>
      </c>
      <c r="G55" s="81">
        <f t="shared" si="14"/>
        <v>53.899922346462382</v>
      </c>
      <c r="H55" s="81">
        <f t="shared" si="14"/>
        <v>49.599105688275039</v>
      </c>
      <c r="I55" s="81">
        <f t="shared" si="14"/>
        <v>46.485968442101026</v>
      </c>
      <c r="J55" s="81">
        <f t="shared" si="14"/>
        <v>43.522414529265333</v>
      </c>
      <c r="K55" s="81">
        <f t="shared" si="14"/>
        <v>40.735784076894888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96"/>
  <sheetViews>
    <sheetView showGridLines="0" tabSelected="1" zoomScale="85" zoomScaleNormal="85" workbookViewId="0">
      <pane xSplit="2" ySplit="3" topLeftCell="G4" activePane="bottomRight" state="frozen"/>
      <selection pane="topRight" activeCell="C1" sqref="C1"/>
      <selection pane="bottomLeft" activeCell="A3" sqref="A3"/>
      <selection pane="bottomRight" activeCell="AA6" sqref="AA6"/>
    </sheetView>
  </sheetViews>
  <sheetFormatPr defaultColWidth="9.109375" defaultRowHeight="13.2" outlineLevelRow="1" outlineLevelCol="1" x14ac:dyDescent="0.25"/>
  <cols>
    <col min="1" max="1" width="38.21875" style="9" bestFit="1" customWidth="1"/>
    <col min="2" max="2" width="9.109375" style="9"/>
    <col min="3" max="6" width="10.109375" style="9" hidden="1" customWidth="1" outlineLevel="1"/>
    <col min="7" max="7" width="10.109375" style="9" customWidth="1" collapsed="1"/>
    <col min="8" max="11" width="10.109375" style="9" hidden="1" customWidth="1" outlineLevel="1"/>
    <col min="12" max="12" width="10.109375" style="9" customWidth="1" collapsed="1"/>
    <col min="13" max="16" width="10.109375" style="9" hidden="1" customWidth="1" outlineLevel="1"/>
    <col min="17" max="17" width="10.109375" style="9" customWidth="1" collapsed="1"/>
    <col min="18" max="21" width="10.109375" style="9" hidden="1" customWidth="1" outlineLevel="1"/>
    <col min="22" max="22" width="10.109375" style="9" customWidth="1" collapsed="1"/>
    <col min="23" max="26" width="10.109375" style="9" hidden="1" customWidth="1" outlineLevel="1"/>
    <col min="27" max="27" width="10.109375" style="9" customWidth="1" collapsed="1"/>
    <col min="28" max="31" width="10.109375" style="9" hidden="1" customWidth="1" outlineLevel="1"/>
    <col min="32" max="32" width="10.109375" style="9" customWidth="1" collapsed="1"/>
    <col min="33" max="36" width="10.109375" style="9" hidden="1" customWidth="1" outlineLevel="1"/>
    <col min="37" max="37" width="10.109375" style="9" customWidth="1" collapsed="1"/>
    <col min="38" max="41" width="10.109375" style="9" hidden="1" customWidth="1" outlineLevel="1"/>
    <col min="42" max="42" width="10.109375" style="9" customWidth="1" collapsed="1"/>
    <col min="43" max="46" width="10.109375" style="9" hidden="1" customWidth="1" outlineLevel="1"/>
    <col min="47" max="47" width="10.109375" style="9" customWidth="1" collapsed="1"/>
    <col min="48" max="16384" width="9.109375" style="9"/>
  </cols>
  <sheetData>
    <row r="1" spans="1:47" x14ac:dyDescent="0.25">
      <c r="A1" s="74" t="s">
        <v>0</v>
      </c>
      <c r="B1" s="76"/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2" t="s">
        <v>9</v>
      </c>
      <c r="V1" s="2" t="s">
        <v>10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</row>
    <row r="2" spans="1:47" x14ac:dyDescent="0.25">
      <c r="A2" s="74"/>
      <c r="B2" s="76"/>
      <c r="C2" s="6">
        <v>42185</v>
      </c>
      <c r="D2" s="6">
        <v>42277</v>
      </c>
      <c r="E2" s="6">
        <v>42369</v>
      </c>
      <c r="F2" s="6">
        <v>42460</v>
      </c>
      <c r="G2" s="6">
        <v>42460</v>
      </c>
      <c r="H2" s="6">
        <v>42551</v>
      </c>
      <c r="I2" s="6">
        <v>42643</v>
      </c>
      <c r="J2" s="6">
        <v>42735</v>
      </c>
      <c r="K2" s="6">
        <v>42825</v>
      </c>
      <c r="L2" s="6">
        <v>42825</v>
      </c>
      <c r="M2" s="6">
        <v>42916</v>
      </c>
      <c r="N2" s="6">
        <v>43008</v>
      </c>
      <c r="O2" s="6">
        <v>43100</v>
      </c>
      <c r="P2" s="6">
        <v>43190</v>
      </c>
      <c r="Q2" s="6">
        <v>43190</v>
      </c>
      <c r="R2" s="6">
        <v>43281</v>
      </c>
      <c r="S2" s="6">
        <v>43373</v>
      </c>
      <c r="T2" s="6">
        <v>43465</v>
      </c>
      <c r="U2" s="7">
        <v>43555</v>
      </c>
      <c r="V2" s="7">
        <v>43555</v>
      </c>
      <c r="W2" s="7">
        <v>43646</v>
      </c>
      <c r="X2" s="7">
        <v>43738</v>
      </c>
      <c r="Y2" s="7">
        <v>43830</v>
      </c>
      <c r="Z2" s="7">
        <v>43921</v>
      </c>
      <c r="AA2" s="7">
        <v>43921</v>
      </c>
      <c r="AB2" s="7">
        <v>44012</v>
      </c>
      <c r="AC2" s="7">
        <v>44104</v>
      </c>
      <c r="AD2" s="7">
        <v>44196</v>
      </c>
      <c r="AE2" s="7">
        <v>44286</v>
      </c>
      <c r="AF2" s="7">
        <v>44286</v>
      </c>
      <c r="AG2" s="7">
        <v>44377</v>
      </c>
      <c r="AH2" s="7">
        <v>44469</v>
      </c>
      <c r="AI2" s="7">
        <v>44561</v>
      </c>
      <c r="AJ2" s="7">
        <v>44651</v>
      </c>
      <c r="AK2" s="7">
        <v>44651</v>
      </c>
      <c r="AL2" s="7">
        <v>44742</v>
      </c>
      <c r="AM2" s="7">
        <v>44834</v>
      </c>
      <c r="AN2" s="7">
        <v>44926</v>
      </c>
      <c r="AO2" s="7">
        <v>45016</v>
      </c>
      <c r="AP2" s="7">
        <v>45016</v>
      </c>
      <c r="AQ2" s="7">
        <v>45107</v>
      </c>
      <c r="AR2" s="7">
        <v>45199</v>
      </c>
      <c r="AS2" s="7">
        <v>45291</v>
      </c>
      <c r="AT2" s="7">
        <v>45382</v>
      </c>
      <c r="AU2" s="7">
        <v>45382</v>
      </c>
    </row>
    <row r="3" spans="1:47" x14ac:dyDescent="0.25">
      <c r="A3" s="76"/>
      <c r="B3" s="76"/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11</v>
      </c>
      <c r="T3" s="1" t="s">
        <v>11</v>
      </c>
      <c r="U3" s="2" t="s">
        <v>12</v>
      </c>
      <c r="V3" s="2" t="s">
        <v>12</v>
      </c>
      <c r="W3" s="2" t="s">
        <v>12</v>
      </c>
      <c r="X3" s="2" t="s">
        <v>12</v>
      </c>
      <c r="Y3" s="2" t="s">
        <v>12</v>
      </c>
      <c r="Z3" s="2" t="s">
        <v>12</v>
      </c>
      <c r="AA3" s="2" t="s">
        <v>12</v>
      </c>
      <c r="AB3" s="2" t="s">
        <v>12</v>
      </c>
      <c r="AC3" s="2" t="s">
        <v>12</v>
      </c>
      <c r="AD3" s="2" t="s">
        <v>12</v>
      </c>
      <c r="AE3" s="2" t="s">
        <v>12</v>
      </c>
      <c r="AF3" s="2" t="s">
        <v>12</v>
      </c>
      <c r="AG3" s="2" t="s">
        <v>12</v>
      </c>
      <c r="AH3" s="2" t="s">
        <v>12</v>
      </c>
      <c r="AI3" s="2" t="s">
        <v>12</v>
      </c>
      <c r="AJ3" s="2" t="s">
        <v>12</v>
      </c>
      <c r="AK3" s="2" t="s">
        <v>12</v>
      </c>
      <c r="AL3" s="2" t="s">
        <v>12</v>
      </c>
      <c r="AM3" s="2" t="s">
        <v>12</v>
      </c>
      <c r="AN3" s="2" t="s">
        <v>12</v>
      </c>
      <c r="AO3" s="2" t="s">
        <v>12</v>
      </c>
      <c r="AP3" s="2" t="s">
        <v>12</v>
      </c>
      <c r="AQ3" s="2" t="s">
        <v>12</v>
      </c>
      <c r="AR3" s="2" t="s">
        <v>12</v>
      </c>
      <c r="AS3" s="2" t="s">
        <v>12</v>
      </c>
      <c r="AT3" s="2" t="s">
        <v>12</v>
      </c>
      <c r="AU3" s="2" t="s">
        <v>12</v>
      </c>
    </row>
    <row r="5" spans="1:47" x14ac:dyDescent="0.25">
      <c r="A5" s="9" t="s">
        <v>159</v>
      </c>
      <c r="C5" s="9">
        <v>91</v>
      </c>
      <c r="D5" s="9">
        <f>D2-C2</f>
        <v>92</v>
      </c>
      <c r="E5" s="9">
        <f t="shared" ref="E5:F5" si="0">E2-D2</f>
        <v>92</v>
      </c>
      <c r="F5" s="9">
        <f t="shared" si="0"/>
        <v>91</v>
      </c>
      <c r="G5" s="9">
        <f>SUM(C5:F5)</f>
        <v>366</v>
      </c>
      <c r="H5" s="9">
        <f>H2-F2</f>
        <v>91</v>
      </c>
      <c r="I5" s="9">
        <f>I2-H2</f>
        <v>92</v>
      </c>
      <c r="J5" s="9">
        <f t="shared" ref="J5:K5" si="1">J2-I2</f>
        <v>92</v>
      </c>
      <c r="K5" s="9">
        <f t="shared" si="1"/>
        <v>90</v>
      </c>
      <c r="L5" s="9">
        <f>SUM(H5:K5)</f>
        <v>365</v>
      </c>
      <c r="M5" s="9">
        <f t="shared" ref="M5" si="2">M2-K2</f>
        <v>91</v>
      </c>
      <c r="N5" s="9">
        <f t="shared" ref="N5:AT5" si="3">N2-M2</f>
        <v>92</v>
      </c>
      <c r="O5" s="9">
        <f t="shared" si="3"/>
        <v>92</v>
      </c>
      <c r="P5" s="9">
        <f t="shared" si="3"/>
        <v>90</v>
      </c>
      <c r="Q5" s="9">
        <f t="shared" ref="Q5" si="4">SUM(M5:P5)</f>
        <v>365</v>
      </c>
      <c r="R5" s="9">
        <f t="shared" ref="R5" si="5">R2-P2</f>
        <v>91</v>
      </c>
      <c r="S5" s="9">
        <f t="shared" ref="S5" si="6">S2-R2</f>
        <v>92</v>
      </c>
      <c r="T5" s="9">
        <f t="shared" si="3"/>
        <v>92</v>
      </c>
      <c r="U5" s="9">
        <f t="shared" si="3"/>
        <v>90</v>
      </c>
      <c r="V5" s="9">
        <f t="shared" ref="V5" si="7">SUM(R5:U5)</f>
        <v>365</v>
      </c>
      <c r="W5" s="9">
        <f t="shared" ref="W5" si="8">W2-U2</f>
        <v>91</v>
      </c>
      <c r="X5" s="9">
        <f t="shared" ref="X5" si="9">X2-W2</f>
        <v>92</v>
      </c>
      <c r="Y5" s="9">
        <f t="shared" si="3"/>
        <v>92</v>
      </c>
      <c r="Z5" s="9">
        <f t="shared" si="3"/>
        <v>91</v>
      </c>
      <c r="AA5" s="9">
        <f t="shared" ref="AA5" si="10">SUM(W5:Z5)</f>
        <v>366</v>
      </c>
      <c r="AB5" s="9">
        <f t="shared" ref="AB5" si="11">AB2-Z2</f>
        <v>91</v>
      </c>
      <c r="AC5" s="9">
        <f t="shared" ref="AC5" si="12">AC2-AB2</f>
        <v>92</v>
      </c>
      <c r="AD5" s="9">
        <f t="shared" si="3"/>
        <v>92</v>
      </c>
      <c r="AE5" s="9">
        <f t="shared" si="3"/>
        <v>90</v>
      </c>
      <c r="AF5" s="9">
        <f t="shared" ref="AF5" si="13">SUM(AB5:AE5)</f>
        <v>365</v>
      </c>
      <c r="AG5" s="9">
        <f t="shared" ref="AG5" si="14">AG2-AE2</f>
        <v>91</v>
      </c>
      <c r="AH5" s="9">
        <f t="shared" ref="AH5" si="15">AH2-AG2</f>
        <v>92</v>
      </c>
      <c r="AI5" s="9">
        <f t="shared" si="3"/>
        <v>92</v>
      </c>
      <c r="AJ5" s="9">
        <f t="shared" si="3"/>
        <v>90</v>
      </c>
      <c r="AK5" s="9">
        <f t="shared" ref="AK5" si="16">SUM(AG5:AJ5)</f>
        <v>365</v>
      </c>
      <c r="AL5" s="9">
        <f t="shared" ref="AL5" si="17">AL2-AJ2</f>
        <v>91</v>
      </c>
      <c r="AM5" s="9">
        <f t="shared" ref="AM5" si="18">AM2-AL2</f>
        <v>92</v>
      </c>
      <c r="AN5" s="9">
        <f t="shared" si="3"/>
        <v>92</v>
      </c>
      <c r="AO5" s="9">
        <f t="shared" si="3"/>
        <v>90</v>
      </c>
      <c r="AP5" s="9">
        <f t="shared" ref="AP5" si="19">SUM(AL5:AO5)</f>
        <v>365</v>
      </c>
      <c r="AQ5" s="9">
        <f t="shared" ref="AQ5" si="20">AQ2-AO2</f>
        <v>91</v>
      </c>
      <c r="AR5" s="9">
        <f t="shared" ref="AR5" si="21">AR2-AQ2</f>
        <v>92</v>
      </c>
      <c r="AS5" s="9">
        <f t="shared" si="3"/>
        <v>92</v>
      </c>
      <c r="AT5" s="9">
        <f t="shared" si="3"/>
        <v>91</v>
      </c>
      <c r="AU5" s="9">
        <f t="shared" ref="AU5" si="22">SUM(AQ5:AT5)</f>
        <v>366</v>
      </c>
    </row>
    <row r="7" spans="1:47" x14ac:dyDescent="0.25">
      <c r="A7" s="30" t="s">
        <v>156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</row>
    <row r="9" spans="1:47" s="8" customFormat="1" x14ac:dyDescent="0.25">
      <c r="A9" s="8" t="s">
        <v>48</v>
      </c>
      <c r="B9" s="8" t="s">
        <v>146</v>
      </c>
      <c r="C9" s="20">
        <f>C11+C12+C13</f>
        <v>14694.6</v>
      </c>
      <c r="D9" s="20">
        <f t="shared" ref="D9" si="23">D11+D12+D13</f>
        <v>13200.6</v>
      </c>
      <c r="E9" s="20">
        <f t="shared" ref="E9" si="24">E11+E12+E13</f>
        <v>13390.800000000001</v>
      </c>
      <c r="F9" s="20">
        <f t="shared" ref="F9" si="25">F11+F12+F13</f>
        <v>12408.5</v>
      </c>
      <c r="G9" s="20">
        <f t="shared" ref="G9" si="26">G11+G12+G13</f>
        <v>53694.5</v>
      </c>
      <c r="H9" s="20">
        <f t="shared" ref="H9" si="27">H11+H12+H13</f>
        <v>15693.7</v>
      </c>
      <c r="I9" s="20">
        <f t="shared" ref="I9" si="28">I11+I12+I13</f>
        <v>14176.800000000001</v>
      </c>
      <c r="J9" s="20">
        <f t="shared" ref="J9" si="29">J11+J12+J13</f>
        <v>13343.499999999998</v>
      </c>
      <c r="K9" s="20">
        <f>K11+K12+K13</f>
        <v>12953.900000000001</v>
      </c>
      <c r="L9" s="20">
        <f>L11+L12+L13</f>
        <v>56167.899999999994</v>
      </c>
      <c r="M9" s="20">
        <f t="shared" ref="M9" si="30">M11+M12+M13</f>
        <v>15289.2</v>
      </c>
      <c r="N9" s="20">
        <f t="shared" ref="N9" si="31">N11+N12+N13</f>
        <v>15298.7</v>
      </c>
      <c r="O9" s="20">
        <f t="shared" ref="O9" si="32">O11+O12+O13</f>
        <v>15429</v>
      </c>
      <c r="P9" s="20">
        <f t="shared" ref="P9" si="33">P11+P12+P13</f>
        <v>14853.1</v>
      </c>
      <c r="Q9" s="20">
        <f t="shared" ref="Q9" si="34">Q11+Q12+Q13</f>
        <v>60870</v>
      </c>
      <c r="R9" s="20">
        <f t="shared" ref="R9" si="35">R11+R12+R13</f>
        <v>18340.7</v>
      </c>
      <c r="S9" s="20">
        <f t="shared" ref="S9" si="36">S11+S12+S13</f>
        <v>17574.400000000001</v>
      </c>
      <c r="T9" s="20">
        <f t="shared" ref="T9" si="37">T11+T12+T13</f>
        <v>18483</v>
      </c>
      <c r="U9" s="20">
        <f>'Operational Drivers'!U6</f>
        <v>17740.437065858412</v>
      </c>
      <c r="V9" s="20">
        <f>R9+S9+T9+U9</f>
        <v>72138.537065858414</v>
      </c>
      <c r="W9" s="20">
        <f>'Operational Drivers'!W6</f>
        <v>19611.710510000004</v>
      </c>
      <c r="X9" s="20">
        <f>'Operational Drivers'!X6</f>
        <v>18792.305920000006</v>
      </c>
      <c r="Y9" s="20">
        <f>'Operational Drivers'!Y6</f>
        <v>19763.871900000002</v>
      </c>
      <c r="Z9" s="20">
        <f>'Operational Drivers'!Z6</f>
        <v>18980.101127733542</v>
      </c>
      <c r="AA9" s="20">
        <f>W9+X9+Y9+Z9</f>
        <v>77147.989457733551</v>
      </c>
      <c r="AB9" s="20">
        <f>'Operational Drivers'!AB6</f>
        <v>21442.95604220001</v>
      </c>
      <c r="AC9" s="20">
        <f>'Operational Drivers'!AC6</f>
        <v>20547.039462400007</v>
      </c>
      <c r="AD9" s="20">
        <f>'Operational Drivers'!AD6</f>
        <v>21609.325518000001</v>
      </c>
      <c r="AE9" s="20">
        <f>'Operational Drivers'!AE6</f>
        <v>20765.897919313145</v>
      </c>
      <c r="AF9" s="20">
        <f t="shared" ref="AF9" si="38">AB9+AC9+AD9+AE9</f>
        <v>84365.218941913161</v>
      </c>
      <c r="AG9" s="20">
        <f>'Operational Drivers'!AG6</f>
        <v>22930.753993014008</v>
      </c>
      <c r="AH9" s="20">
        <f>'Operational Drivers'!AH6</f>
        <v>21972.675141888012</v>
      </c>
      <c r="AI9" s="20">
        <f>'Operational Drivers'!AI6</f>
        <v>23108.666847660006</v>
      </c>
      <c r="AJ9" s="20">
        <f>'Operational Drivers'!AJ6</f>
        <v>22212.59538108456</v>
      </c>
      <c r="AK9" s="20">
        <f t="shared" ref="AK9" si="39">AG9+AH9+AI9+AJ9</f>
        <v>90224.691363646591</v>
      </c>
      <c r="AL9" s="20">
        <f>'Operational Drivers'!AL6</f>
        <v>24525.983888931427</v>
      </c>
      <c r="AM9" s="20">
        <f>'Operational Drivers'!AM6</f>
        <v>23501.254110128648</v>
      </c>
      <c r="AN9" s="20">
        <f>'Operational Drivers'!AN6</f>
        <v>24716.273654719811</v>
      </c>
      <c r="AO9" s="20">
        <f>'Operational Drivers'!AO6</f>
        <v>23764.100407620524</v>
      </c>
      <c r="AP9" s="20">
        <f t="shared" ref="AP9" si="40">AL9+AM9+AN9+AO9</f>
        <v>96507.612061400418</v>
      </c>
      <c r="AQ9" s="20">
        <f>'Operational Drivers'!AQ6</f>
        <v>26236.648093152442</v>
      </c>
      <c r="AR9" s="20">
        <f>'Operational Drivers'!AR6</f>
        <v>25140.444380437948</v>
      </c>
      <c r="AS9" s="20">
        <f>'Operational Drivers'!AS6</f>
        <v>26440.210390319706</v>
      </c>
      <c r="AT9" s="20">
        <f>'Operational Drivers'!AT6</f>
        <v>25428.239221678024</v>
      </c>
      <c r="AU9" s="20">
        <f t="shared" ref="AU9" si="41">AQ9+AR9+AS9+AT9</f>
        <v>103245.54208558812</v>
      </c>
    </row>
    <row r="10" spans="1:47" s="21" customFormat="1" x14ac:dyDescent="0.25">
      <c r="A10" s="34" t="s">
        <v>144</v>
      </c>
      <c r="B10" s="35" t="s">
        <v>145</v>
      </c>
      <c r="C10" s="28" t="s">
        <v>147</v>
      </c>
      <c r="D10" s="28" t="s">
        <v>147</v>
      </c>
      <c r="E10" s="28" t="s">
        <v>147</v>
      </c>
      <c r="F10" s="28" t="s">
        <v>147</v>
      </c>
      <c r="G10" s="28" t="s">
        <v>147</v>
      </c>
      <c r="H10" s="29">
        <f>IFERROR(H9/C9-1,"na")</f>
        <v>6.7990962666557797E-2</v>
      </c>
      <c r="I10" s="29">
        <f t="shared" ref="I10:M10" si="42">IFERROR(I9/D9-1,"na")</f>
        <v>7.3951184037089224E-2</v>
      </c>
      <c r="J10" s="29">
        <f t="shared" si="42"/>
        <v>-3.5322758909104301E-3</v>
      </c>
      <c r="K10" s="29">
        <f t="shared" si="42"/>
        <v>4.3953741386952627E-2</v>
      </c>
      <c r="L10" s="29">
        <f t="shared" si="42"/>
        <v>4.6064308262484976E-2</v>
      </c>
      <c r="M10" s="29">
        <f t="shared" si="42"/>
        <v>-2.5774673913736112E-2</v>
      </c>
      <c r="N10" s="29">
        <f t="shared" ref="N10" si="43">IFERROR(N9/I9-1,"na")</f>
        <v>7.9136335421251536E-2</v>
      </c>
      <c r="O10" s="29">
        <f t="shared" ref="O10" si="44">IFERROR(O9/J9-1,"na")</f>
        <v>0.15629332633866699</v>
      </c>
      <c r="P10" s="29">
        <f t="shared" ref="P10" si="45">IFERROR(P9/K9-1,"na")</f>
        <v>0.14661221717011852</v>
      </c>
      <c r="Q10" s="29">
        <f t="shared" ref="Q10:R10" si="46">IFERROR(Q9/L9-1,"na")</f>
        <v>8.3715075692700092E-2</v>
      </c>
      <c r="R10" s="29">
        <f t="shared" si="46"/>
        <v>0.19958532820553065</v>
      </c>
      <c r="S10" s="29">
        <f t="shared" ref="S10" si="47">IFERROR(S9/N9-1,"na")</f>
        <v>0.14875120108244499</v>
      </c>
      <c r="T10" s="29">
        <f t="shared" ref="T10" si="48">IFERROR(T9/O9-1,"na")</f>
        <v>0.1979389461403851</v>
      </c>
      <c r="U10" s="29">
        <f>IFERROR(U9/P9-1,"na")</f>
        <v>0.19439289211399724</v>
      </c>
      <c r="V10" s="29">
        <f t="shared" ref="V10:W10" si="49">IFERROR(V9/Q9-1,"na")</f>
        <v>0.18512464376307558</v>
      </c>
      <c r="W10" s="29">
        <f t="shared" si="49"/>
        <v>6.9300000000000139E-2</v>
      </c>
      <c r="X10" s="29">
        <f t="shared" ref="X10" si="50">IFERROR(X9/S9-1,"na")</f>
        <v>6.9300000000000361E-2</v>
      </c>
      <c r="Y10" s="29">
        <f t="shared" ref="Y10" si="51">IFERROR(Y9/T9-1,"na")</f>
        <v>6.9300000000000139E-2</v>
      </c>
      <c r="Z10" s="29">
        <f>IFERROR(Z9/U9-1,"na")</f>
        <v>6.9877876022619079E-2</v>
      </c>
      <c r="AA10" s="29">
        <f t="shared" ref="AA10:AB10" si="52">IFERROR(AA9/V9-1,"na")</f>
        <v>6.9442112297090075E-2</v>
      </c>
      <c r="AB10" s="29">
        <f t="shared" si="52"/>
        <v>9.3375105209015485E-2</v>
      </c>
      <c r="AC10" s="29">
        <f t="shared" ref="AC10" si="53">IFERROR(AC9/X9-1,"na")</f>
        <v>9.3375105209015263E-2</v>
      </c>
      <c r="AD10" s="29">
        <f t="shared" ref="AD10" si="54">IFERROR(AD9/Y9-1,"na")</f>
        <v>9.3375105209015263E-2</v>
      </c>
      <c r="AE10" s="29">
        <f t="shared" ref="AE10" si="55">IFERROR(AE9/Z9-1,"na")</f>
        <v>9.4087843871928367E-2</v>
      </c>
      <c r="AF10" s="29">
        <f t="shared" ref="AF10:AG10" si="56">IFERROR(AF9/AA9-1,"na")</f>
        <v>9.3550454586164733E-2</v>
      </c>
      <c r="AG10" s="29">
        <f t="shared" si="56"/>
        <v>6.9383994813308147E-2</v>
      </c>
      <c r="AH10" s="29">
        <f t="shared" ref="AH10" si="57">IFERROR(AH9/AC9-1,"na")</f>
        <v>6.9383994813308369E-2</v>
      </c>
      <c r="AI10" s="29">
        <f t="shared" ref="AI10" si="58">IFERROR(AI9/AD9-1,"na")</f>
        <v>6.9383994813308369E-2</v>
      </c>
      <c r="AJ10" s="29">
        <f t="shared" ref="AJ10" si="59">IFERROR(AJ9/AE9-1,"na")</f>
        <v>6.9666983214143885E-2</v>
      </c>
      <c r="AK10" s="29">
        <f t="shared" ref="AK10:AL10" si="60">IFERROR(AK9/AF9-1,"na")</f>
        <v>6.9453650393152877E-2</v>
      </c>
      <c r="AL10" s="29">
        <f t="shared" si="60"/>
        <v>6.9567267452409709E-2</v>
      </c>
      <c r="AM10" s="29">
        <f t="shared" ref="AM10" si="61">IFERROR(AM9/AH9-1,"na")</f>
        <v>6.9567267452409709E-2</v>
      </c>
      <c r="AN10" s="29">
        <f t="shared" ref="AN10" si="62">IFERROR(AN9/AI9-1,"na")</f>
        <v>6.9567267452409931E-2</v>
      </c>
      <c r="AO10" s="29">
        <f t="shared" ref="AO10" si="63">IFERROR(AO9/AJ9-1,"na")</f>
        <v>6.9847984889562786E-2</v>
      </c>
      <c r="AP10" s="29">
        <f t="shared" ref="AP10:AQ10" si="64">IFERROR(AP9/AK9-1,"na")</f>
        <v>6.9636377833987684E-2</v>
      </c>
      <c r="AQ10" s="29">
        <f t="shared" si="64"/>
        <v>6.9749055204795907E-2</v>
      </c>
      <c r="AR10" s="29">
        <f t="shared" ref="AR10" si="65">IFERROR(AR9/AM9-1,"na")</f>
        <v>6.9749055204795907E-2</v>
      </c>
      <c r="AS10" s="29">
        <f t="shared" ref="AS10" si="66">IFERROR(AS9/AN9-1,"na")</f>
        <v>6.9749055204795907E-2</v>
      </c>
      <c r="AT10" s="29">
        <f t="shared" ref="AT10" si="67">IFERROR(AT9/AO9-1,"na")</f>
        <v>7.00274273173771E-2</v>
      </c>
      <c r="AU10" s="29">
        <f t="shared" ref="AU10" si="68">IFERROR(AU9/AP9-1,"na")</f>
        <v>6.9817601744211366E-2</v>
      </c>
    </row>
    <row r="11" spans="1:47" outlineLevel="1" x14ac:dyDescent="0.25">
      <c r="A11" s="11" t="s">
        <v>49</v>
      </c>
      <c r="B11" s="9" t="s">
        <v>146</v>
      </c>
      <c r="C11" s="12">
        <v>14621.5</v>
      </c>
      <c r="D11" s="12">
        <v>13134.4</v>
      </c>
      <c r="E11" s="12">
        <v>13323.2</v>
      </c>
      <c r="F11" s="12">
        <v>12334.7</v>
      </c>
      <c r="G11" s="10">
        <f>C11+D11+E11+F11</f>
        <v>53413.8</v>
      </c>
      <c r="H11" s="12">
        <v>16838.2</v>
      </c>
      <c r="I11" s="12">
        <v>15220.4</v>
      </c>
      <c r="J11" s="12">
        <v>14308.8</v>
      </c>
      <c r="K11" s="12">
        <v>14043.2</v>
      </c>
      <c r="L11" s="10">
        <f>H11+I11+J11+K11</f>
        <v>60410.599999999991</v>
      </c>
      <c r="M11" s="12">
        <v>16692.7</v>
      </c>
      <c r="N11" s="12">
        <v>15298.7</v>
      </c>
      <c r="O11" s="12">
        <v>15429</v>
      </c>
      <c r="P11" s="12">
        <v>14853.1</v>
      </c>
      <c r="Q11" s="10">
        <f>M11+N11+O11+P11</f>
        <v>62273.5</v>
      </c>
      <c r="R11" s="12">
        <v>18340.7</v>
      </c>
      <c r="S11" s="12">
        <v>17574.400000000001</v>
      </c>
      <c r="T11" s="12">
        <v>18483</v>
      </c>
    </row>
    <row r="12" spans="1:47" outlineLevel="1" x14ac:dyDescent="0.25">
      <c r="A12" s="11" t="s">
        <v>54</v>
      </c>
      <c r="B12" s="9" t="s">
        <v>146</v>
      </c>
      <c r="C12" s="12">
        <v>0</v>
      </c>
      <c r="D12" s="12">
        <v>0</v>
      </c>
      <c r="E12" s="12">
        <v>0</v>
      </c>
      <c r="F12" s="12">
        <v>0</v>
      </c>
      <c r="G12" s="10">
        <f>C12+D12+E12+F12</f>
        <v>0</v>
      </c>
      <c r="H12" s="12">
        <v>-1219.4000000000001</v>
      </c>
      <c r="I12" s="12">
        <v>-1118.3</v>
      </c>
      <c r="J12" s="12">
        <v>-1028.2</v>
      </c>
      <c r="K12" s="12">
        <v>-1089.3</v>
      </c>
      <c r="L12" s="10">
        <f>H12+I12+J12+K12</f>
        <v>-4455.2</v>
      </c>
      <c r="M12" s="12">
        <v>-1403.5</v>
      </c>
      <c r="N12" s="12">
        <v>0</v>
      </c>
      <c r="O12" s="12">
        <v>0</v>
      </c>
      <c r="P12" s="12">
        <v>0</v>
      </c>
      <c r="Q12" s="10">
        <f>M12+N12+O12+P12</f>
        <v>-1403.5</v>
      </c>
      <c r="R12" s="12">
        <v>0</v>
      </c>
      <c r="S12" s="12">
        <v>0</v>
      </c>
      <c r="T12" s="12">
        <v>0</v>
      </c>
    </row>
    <row r="13" spans="1:47" outlineLevel="1" x14ac:dyDescent="0.25">
      <c r="A13" s="11" t="s">
        <v>143</v>
      </c>
      <c r="B13" s="9" t="s">
        <v>146</v>
      </c>
      <c r="C13" s="12">
        <v>73.099999999999994</v>
      </c>
      <c r="D13" s="12">
        <v>66.2</v>
      </c>
      <c r="E13" s="12">
        <v>67.599999999999994</v>
      </c>
      <c r="F13" s="12">
        <v>73.8</v>
      </c>
      <c r="G13" s="10">
        <f>C13+D13+E13+F13</f>
        <v>280.7</v>
      </c>
      <c r="H13" s="12">
        <v>74.900000000000006</v>
      </c>
      <c r="I13" s="12">
        <v>74.7</v>
      </c>
      <c r="J13" s="12">
        <v>62.9</v>
      </c>
      <c r="K13" s="12">
        <v>0</v>
      </c>
      <c r="L13" s="10">
        <f>H13+I13+J13+K13</f>
        <v>212.50000000000003</v>
      </c>
      <c r="M13" s="12"/>
      <c r="N13" s="12"/>
      <c r="O13" s="12"/>
      <c r="P13" s="12"/>
      <c r="Q13" s="10">
        <f>M13+N13+O13+P13</f>
        <v>0</v>
      </c>
      <c r="R13" s="12"/>
      <c r="S13" s="12"/>
      <c r="T13" s="12"/>
    </row>
    <row r="14" spans="1:47" x14ac:dyDescent="0.25">
      <c r="A14" s="9" t="s">
        <v>50</v>
      </c>
      <c r="B14" s="9" t="s">
        <v>146</v>
      </c>
      <c r="C14" s="10">
        <f t="shared" ref="C14:T14" si="69">C16+C17+C18</f>
        <v>-7486.4000000000005</v>
      </c>
      <c r="D14" s="10">
        <f t="shared" si="69"/>
        <v>-6354.5</v>
      </c>
      <c r="E14" s="10">
        <f t="shared" si="69"/>
        <v>-6474.5000000000009</v>
      </c>
      <c r="F14" s="10">
        <f t="shared" si="69"/>
        <v>-5547.6</v>
      </c>
      <c r="G14" s="10">
        <f t="shared" si="69"/>
        <v>-25863</v>
      </c>
      <c r="H14" s="10">
        <f t="shared" si="69"/>
        <v>-7479.1</v>
      </c>
      <c r="I14" s="10">
        <f t="shared" si="69"/>
        <v>-6597.9000000000005</v>
      </c>
      <c r="J14" s="10">
        <f t="shared" si="69"/>
        <v>-6245.7999999999993</v>
      </c>
      <c r="K14" s="10">
        <f t="shared" si="69"/>
        <v>-6072.7999999999993</v>
      </c>
      <c r="L14" s="10">
        <f t="shared" si="69"/>
        <v>-26395.600000000002</v>
      </c>
      <c r="M14" s="10">
        <f t="shared" si="69"/>
        <v>-7381.0999999999995</v>
      </c>
      <c r="N14" s="10">
        <f t="shared" si="69"/>
        <v>-7189.8</v>
      </c>
      <c r="O14" s="10">
        <f t="shared" si="69"/>
        <v>-7186.4000000000005</v>
      </c>
      <c r="P14" s="10">
        <f t="shared" si="69"/>
        <v>-7119.2</v>
      </c>
      <c r="Q14" s="10">
        <f t="shared" si="69"/>
        <v>-28876.499999999996</v>
      </c>
      <c r="R14" s="10">
        <f t="shared" si="69"/>
        <v>-9073.7999999999993</v>
      </c>
      <c r="S14" s="10">
        <f t="shared" si="69"/>
        <v>-8891.5999999999985</v>
      </c>
      <c r="T14" s="10">
        <f t="shared" si="69"/>
        <v>-9752.0000000000018</v>
      </c>
      <c r="U14" s="10">
        <f>-IFERROR(U9*U15,"na")</f>
        <v>-8876.2166676928045</v>
      </c>
      <c r="V14" s="10">
        <f>R14+S14+T14+U14</f>
        <v>-36593.616667692804</v>
      </c>
      <c r="W14" s="10">
        <f t="shared" ref="W14:Z14" si="70">-IFERROR(W9*W15,"na")</f>
        <v>-9609.7381499000021</v>
      </c>
      <c r="X14" s="10">
        <f t="shared" si="70"/>
        <v>-9208.2299008000027</v>
      </c>
      <c r="Y14" s="10">
        <f t="shared" si="70"/>
        <v>-9684.2972310000005</v>
      </c>
      <c r="Z14" s="10">
        <f t="shared" si="70"/>
        <v>-9300.2495525894356</v>
      </c>
      <c r="AA14" s="10">
        <f>W14+X14+Y14+Z14</f>
        <v>-37802.514834289439</v>
      </c>
      <c r="AB14" s="10">
        <f t="shared" ref="AB14" si="71">-IFERROR(AB9*AB15,"na")</f>
        <v>-10507.048460678005</v>
      </c>
      <c r="AC14" s="10">
        <f t="shared" ref="AC14" si="72">-IFERROR(AC9*AC15,"na")</f>
        <v>-10068.049336576003</v>
      </c>
      <c r="AD14" s="10">
        <f t="shared" ref="AD14" si="73">-IFERROR(AD9*AD15,"na")</f>
        <v>-10588.569503820001</v>
      </c>
      <c r="AE14" s="10">
        <f t="shared" ref="AE14" si="74">-IFERROR(AE9*AE15,"na")</f>
        <v>-10175.289980463442</v>
      </c>
      <c r="AF14" s="10">
        <f t="shared" ref="AF14" si="75">AB14+AC14+AD14+AE14</f>
        <v>-41338.957281537449</v>
      </c>
      <c r="AG14" s="10">
        <f t="shared" ref="AG14" si="76">-IFERROR(AG9*AG15,"na")</f>
        <v>-11006.761916646723</v>
      </c>
      <c r="AH14" s="10">
        <f t="shared" ref="AH14" si="77">-IFERROR(AH9*AH15,"na")</f>
        <v>-10546.884068106245</v>
      </c>
      <c r="AI14" s="10">
        <f t="shared" ref="AI14" si="78">-IFERROR(AI9*AI15,"na")</f>
        <v>-11092.160086876802</v>
      </c>
      <c r="AJ14" s="10">
        <f t="shared" ref="AJ14" si="79">-IFERROR(AJ9*AJ15,"na")</f>
        <v>-10662.045782920588</v>
      </c>
      <c r="AK14" s="10">
        <f t="shared" ref="AK14" si="80">AG14+AH14+AI14+AJ14</f>
        <v>-43307.851854550361</v>
      </c>
      <c r="AL14" s="10">
        <f t="shared" ref="AL14" si="81">-IFERROR(AL9*AL15,"na")</f>
        <v>-11772.472266687084</v>
      </c>
      <c r="AM14" s="10">
        <f t="shared" ref="AM14" si="82">-IFERROR(AM9*AM15,"na")</f>
        <v>-11280.60197286175</v>
      </c>
      <c r="AN14" s="10">
        <f t="shared" ref="AN14" si="83">-IFERROR(AN9*AN15,"na")</f>
        <v>-11863.811354265508</v>
      </c>
      <c r="AO14" s="10">
        <f t="shared" ref="AO14" si="84">-IFERROR(AO9*AO15,"na")</f>
        <v>-11406.768195657851</v>
      </c>
      <c r="AP14" s="10">
        <f t="shared" ref="AP14" si="85">AL14+AM14+AN14+AO14</f>
        <v>-46323.653789472191</v>
      </c>
      <c r="AQ14" s="10">
        <f t="shared" ref="AQ14" si="86">-IFERROR(AQ9*AQ15,"na")</f>
        <v>-12593.591084713171</v>
      </c>
      <c r="AR14" s="10">
        <f t="shared" ref="AR14" si="87">-IFERROR(AR9*AR15,"na")</f>
        <v>-12067.413302610215</v>
      </c>
      <c r="AS14" s="10">
        <f t="shared" ref="AS14" si="88">-IFERROR(AS9*AS15,"na")</f>
        <v>-12691.300987353457</v>
      </c>
      <c r="AT14" s="10">
        <f t="shared" ref="AT14" si="89">-IFERROR(AT9*AT15,"na")</f>
        <v>-12205.554826405451</v>
      </c>
      <c r="AU14" s="10">
        <f t="shared" ref="AU14" si="90">AQ14+AR14+AS14+AT14</f>
        <v>-49557.860201082294</v>
      </c>
    </row>
    <row r="15" spans="1:47" s="21" customFormat="1" x14ac:dyDescent="0.25">
      <c r="A15" s="34" t="s">
        <v>148</v>
      </c>
      <c r="B15" s="35" t="s">
        <v>145</v>
      </c>
      <c r="C15" s="29">
        <f>IFERROR(-C14/C9,"na")</f>
        <v>0.50946606236304492</v>
      </c>
      <c r="D15" s="29">
        <f t="shared" ref="D15:AA15" si="91">IFERROR(-D14/D9,"na")</f>
        <v>0.48137963425904884</v>
      </c>
      <c r="E15" s="29">
        <f t="shared" si="91"/>
        <v>0.48350359948621446</v>
      </c>
      <c r="F15" s="29">
        <f t="shared" si="91"/>
        <v>0.44708063021316036</v>
      </c>
      <c r="G15" s="29">
        <f t="shared" si="91"/>
        <v>0.48166944472897599</v>
      </c>
      <c r="H15" s="29">
        <f t="shared" si="91"/>
        <v>0.47656703008213486</v>
      </c>
      <c r="I15" s="29">
        <f t="shared" si="91"/>
        <v>0.46540121889283903</v>
      </c>
      <c r="J15" s="29">
        <f t="shared" si="91"/>
        <v>0.46807809045602727</v>
      </c>
      <c r="K15" s="29">
        <f t="shared" si="91"/>
        <v>0.46880090165895977</v>
      </c>
      <c r="L15" s="29">
        <f t="shared" si="91"/>
        <v>0.46994101613199007</v>
      </c>
      <c r="M15" s="29">
        <f t="shared" si="91"/>
        <v>0.48276561232765608</v>
      </c>
      <c r="N15" s="29">
        <f t="shared" si="91"/>
        <v>0.46996149999673176</v>
      </c>
      <c r="O15" s="29">
        <f t="shared" si="91"/>
        <v>0.46577224706721115</v>
      </c>
      <c r="P15" s="29">
        <f t="shared" si="91"/>
        <v>0.47930734998081204</v>
      </c>
      <c r="Q15" s="29">
        <f t="shared" si="91"/>
        <v>0.47439625431246912</v>
      </c>
      <c r="R15" s="29">
        <f t="shared" si="91"/>
        <v>0.49473575163434325</v>
      </c>
      <c r="S15" s="29">
        <f t="shared" si="91"/>
        <v>0.50594045884923511</v>
      </c>
      <c r="T15" s="29">
        <f t="shared" si="91"/>
        <v>0.52761997511226544</v>
      </c>
      <c r="U15" s="36">
        <f>MEDIAN(P15,R15:T15)</f>
        <v>0.50033810524178923</v>
      </c>
      <c r="V15" s="29">
        <f>IFERROR(-V14/V9,"na")</f>
        <v>0.5072686272288125</v>
      </c>
      <c r="W15" s="36">
        <v>0.49</v>
      </c>
      <c r="X15" s="36">
        <f>W15</f>
        <v>0.49</v>
      </c>
      <c r="Y15" s="36">
        <f>X15</f>
        <v>0.49</v>
      </c>
      <c r="Z15" s="36">
        <f>Y15</f>
        <v>0.49</v>
      </c>
      <c r="AA15" s="29">
        <f t="shared" si="91"/>
        <v>0.49</v>
      </c>
      <c r="AB15" s="36">
        <f t="shared" ref="AB15" si="92">MEDIAN(W15:Z15)</f>
        <v>0.49</v>
      </c>
      <c r="AC15" s="36">
        <f t="shared" ref="AC15" si="93">MEDIAN(X15:Z15,AB15)</f>
        <v>0.49</v>
      </c>
      <c r="AD15" s="36">
        <f t="shared" ref="AD15" si="94">MEDIAN(Y15:Z15,AB15:AC15)</f>
        <v>0.49</v>
      </c>
      <c r="AE15" s="36">
        <f t="shared" ref="AE15" si="95">MEDIAN(Z15,AB15:AD15)</f>
        <v>0.49</v>
      </c>
      <c r="AF15" s="29">
        <f t="shared" ref="AF15" si="96">IFERROR(-AF14/AF9,"na")</f>
        <v>0.49</v>
      </c>
      <c r="AG15" s="36">
        <v>0.48</v>
      </c>
      <c r="AH15" s="36">
        <f>AG15</f>
        <v>0.48</v>
      </c>
      <c r="AI15" s="36">
        <f>AH15</f>
        <v>0.48</v>
      </c>
      <c r="AJ15" s="36">
        <f>AI15</f>
        <v>0.48</v>
      </c>
      <c r="AK15" s="29">
        <f t="shared" ref="AK15" si="97">IFERROR(-AK14/AK9,"na")</f>
        <v>0.48</v>
      </c>
      <c r="AL15" s="36">
        <f t="shared" ref="AL15" si="98">MEDIAN(AG15:AJ15)</f>
        <v>0.48</v>
      </c>
      <c r="AM15" s="36">
        <f t="shared" ref="AM15" si="99">MEDIAN(AH15:AJ15,AL15)</f>
        <v>0.48</v>
      </c>
      <c r="AN15" s="36">
        <f t="shared" ref="AN15" si="100">MEDIAN(AI15:AJ15,AL15:AM15)</f>
        <v>0.48</v>
      </c>
      <c r="AO15" s="36">
        <f t="shared" ref="AO15" si="101">MEDIAN(AJ15,AL15:AN15)</f>
        <v>0.48</v>
      </c>
      <c r="AP15" s="29">
        <f t="shared" ref="AP15" si="102">IFERROR(-AP14/AP9,"na")</f>
        <v>0.47999999999999993</v>
      </c>
      <c r="AQ15" s="36">
        <f t="shared" ref="AQ15" si="103">MEDIAN(AL15:AO15)</f>
        <v>0.48</v>
      </c>
      <c r="AR15" s="36">
        <f t="shared" ref="AR15" si="104">MEDIAN(AM15:AO15,AQ15)</f>
        <v>0.48</v>
      </c>
      <c r="AS15" s="36">
        <f t="shared" ref="AS15" si="105">MEDIAN(AN15:AO15,AQ15:AR15)</f>
        <v>0.48</v>
      </c>
      <c r="AT15" s="36">
        <f t="shared" ref="AT15" si="106">MEDIAN(AO15,AQ15:AS15)</f>
        <v>0.48</v>
      </c>
      <c r="AU15" s="29">
        <f t="shared" ref="AU15" si="107">IFERROR(-AU14/AU9,"na")</f>
        <v>0.47999999999999993</v>
      </c>
    </row>
    <row r="16" spans="1:47" outlineLevel="1" x14ac:dyDescent="0.25">
      <c r="A16" s="11" t="s">
        <v>51</v>
      </c>
      <c r="B16" s="9" t="s">
        <v>146</v>
      </c>
      <c r="C16" s="12">
        <v>-6111.3</v>
      </c>
      <c r="D16" s="12">
        <v>-6016.7</v>
      </c>
      <c r="E16" s="12">
        <v>-5513.6</v>
      </c>
      <c r="F16" s="12">
        <v>-5344.6</v>
      </c>
      <c r="G16" s="10">
        <f t="shared" ref="G16:G18" si="108">C16+D16+E16+F16</f>
        <v>-22986.199999999997</v>
      </c>
      <c r="H16" s="12">
        <v>-5853.4</v>
      </c>
      <c r="I16" s="12">
        <v>-5485.6</v>
      </c>
      <c r="J16" s="12">
        <v>-5231.3999999999996</v>
      </c>
      <c r="K16" s="12">
        <v>-6133.9</v>
      </c>
      <c r="L16" s="10">
        <f t="shared" ref="L16:L18" si="109">H16+I16+J16+K16</f>
        <v>-22704.300000000003</v>
      </c>
      <c r="M16" s="12">
        <v>-6455.4</v>
      </c>
      <c r="N16" s="12">
        <v>-5519.1</v>
      </c>
      <c r="O16" s="12">
        <v>-6702.8</v>
      </c>
      <c r="P16" s="12">
        <v>-6972.9</v>
      </c>
      <c r="Q16" s="10">
        <f t="shared" ref="Q16:Q38" si="110">M16+N16+O16+P16</f>
        <v>-25650.199999999997</v>
      </c>
      <c r="R16" s="12">
        <v>-7917.7</v>
      </c>
      <c r="S16" s="12">
        <v>-8083.4</v>
      </c>
      <c r="T16" s="12">
        <v>-8705.2000000000007</v>
      </c>
    </row>
    <row r="17" spans="1:47" outlineLevel="1" x14ac:dyDescent="0.25">
      <c r="A17" s="11" t="s">
        <v>52</v>
      </c>
      <c r="B17" s="9" t="s">
        <v>146</v>
      </c>
      <c r="C17" s="12">
        <v>-584.1</v>
      </c>
      <c r="D17" s="12">
        <v>-639</v>
      </c>
      <c r="E17" s="12">
        <v>-658.8</v>
      </c>
      <c r="F17" s="12">
        <v>-778</v>
      </c>
      <c r="G17" s="10">
        <f t="shared" si="108"/>
        <v>-2659.8999999999996</v>
      </c>
      <c r="H17" s="12">
        <v>-1046.5999999999999</v>
      </c>
      <c r="I17" s="12">
        <v>-1082.8</v>
      </c>
      <c r="J17" s="12">
        <v>-992.7</v>
      </c>
      <c r="K17" s="12">
        <v>-876.5</v>
      </c>
      <c r="L17" s="10">
        <f t="shared" si="109"/>
        <v>-3998.5999999999995</v>
      </c>
      <c r="M17" s="12">
        <v>-862.4</v>
      </c>
      <c r="N17" s="12">
        <v>-865.4</v>
      </c>
      <c r="O17" s="12">
        <v>-629.29999999999995</v>
      </c>
      <c r="P17" s="12">
        <v>-831.5</v>
      </c>
      <c r="Q17" s="10">
        <f t="shared" si="110"/>
        <v>-3188.6</v>
      </c>
      <c r="R17" s="12">
        <v>-1054.5999999999999</v>
      </c>
      <c r="S17" s="12">
        <v>-991.3</v>
      </c>
      <c r="T17" s="12">
        <v>-1147.5999999999999</v>
      </c>
    </row>
    <row r="18" spans="1:47" outlineLevel="1" x14ac:dyDescent="0.25">
      <c r="A18" s="11" t="s">
        <v>53</v>
      </c>
      <c r="B18" s="9" t="s">
        <v>146</v>
      </c>
      <c r="C18" s="12">
        <v>-791</v>
      </c>
      <c r="D18" s="12">
        <v>301.2</v>
      </c>
      <c r="E18" s="12">
        <v>-302.10000000000002</v>
      </c>
      <c r="F18" s="12">
        <v>575</v>
      </c>
      <c r="G18" s="10">
        <f t="shared" si="108"/>
        <v>-216.90000000000009</v>
      </c>
      <c r="H18" s="12">
        <v>-579.1</v>
      </c>
      <c r="I18" s="12">
        <v>-29.5</v>
      </c>
      <c r="J18" s="12">
        <v>-21.7</v>
      </c>
      <c r="K18" s="12">
        <v>937.6</v>
      </c>
      <c r="L18" s="10">
        <f t="shared" si="109"/>
        <v>307.29999999999995</v>
      </c>
      <c r="M18" s="12">
        <v>-63.3</v>
      </c>
      <c r="N18" s="12">
        <v>-805.3</v>
      </c>
      <c r="O18" s="12">
        <v>145.69999999999999</v>
      </c>
      <c r="P18" s="12">
        <v>685.2</v>
      </c>
      <c r="Q18" s="10">
        <f t="shared" si="110"/>
        <v>-37.699999999999818</v>
      </c>
      <c r="R18" s="12">
        <v>-101.5</v>
      </c>
      <c r="S18" s="12">
        <v>183.1</v>
      </c>
      <c r="T18" s="12">
        <v>100.8</v>
      </c>
    </row>
    <row r="19" spans="1:47" s="8" customFormat="1" x14ac:dyDescent="0.25">
      <c r="A19" s="8" t="s">
        <v>55</v>
      </c>
      <c r="B19" s="8" t="s">
        <v>146</v>
      </c>
      <c r="C19" s="20">
        <f t="shared" ref="C19:AU19" si="111">C9+C14</f>
        <v>7208.2</v>
      </c>
      <c r="D19" s="20">
        <f t="shared" si="111"/>
        <v>6846.1</v>
      </c>
      <c r="E19" s="20">
        <f t="shared" si="111"/>
        <v>6916.3</v>
      </c>
      <c r="F19" s="20">
        <f t="shared" si="111"/>
        <v>6860.9</v>
      </c>
      <c r="G19" s="20">
        <f t="shared" si="111"/>
        <v>27831.5</v>
      </c>
      <c r="H19" s="20">
        <f t="shared" si="111"/>
        <v>8214.6</v>
      </c>
      <c r="I19" s="20">
        <f t="shared" si="111"/>
        <v>7578.9000000000005</v>
      </c>
      <c r="J19" s="20">
        <f t="shared" si="111"/>
        <v>7097.6999999999989</v>
      </c>
      <c r="K19" s="20">
        <f t="shared" si="111"/>
        <v>6881.1000000000022</v>
      </c>
      <c r="L19" s="20">
        <f t="shared" si="111"/>
        <v>29772.299999999992</v>
      </c>
      <c r="M19" s="20">
        <f t="shared" si="111"/>
        <v>7908.1000000000013</v>
      </c>
      <c r="N19" s="20">
        <f t="shared" si="111"/>
        <v>8108.9000000000005</v>
      </c>
      <c r="O19" s="20">
        <f t="shared" si="111"/>
        <v>8242.5999999999985</v>
      </c>
      <c r="P19" s="20">
        <f t="shared" si="111"/>
        <v>7733.9000000000005</v>
      </c>
      <c r="Q19" s="20">
        <f t="shared" si="111"/>
        <v>31993.500000000004</v>
      </c>
      <c r="R19" s="20">
        <f t="shared" si="111"/>
        <v>9266.9000000000015</v>
      </c>
      <c r="S19" s="20">
        <f t="shared" si="111"/>
        <v>8682.8000000000029</v>
      </c>
      <c r="T19" s="20">
        <f t="shared" si="111"/>
        <v>8730.9999999999982</v>
      </c>
      <c r="U19" s="20">
        <f>U9+U14</f>
        <v>8864.2203981656075</v>
      </c>
      <c r="V19" s="20">
        <f t="shared" si="111"/>
        <v>35544.92039816561</v>
      </c>
      <c r="W19" s="20">
        <f t="shared" si="111"/>
        <v>10001.972360100002</v>
      </c>
      <c r="X19" s="20">
        <f t="shared" si="111"/>
        <v>9584.0760192000034</v>
      </c>
      <c r="Y19" s="20">
        <f t="shared" si="111"/>
        <v>10079.574669000001</v>
      </c>
      <c r="Z19" s="20">
        <f t="shared" si="111"/>
        <v>9679.8515751441064</v>
      </c>
      <c r="AA19" s="20">
        <f t="shared" si="111"/>
        <v>39345.474623444112</v>
      </c>
      <c r="AB19" s="20">
        <f t="shared" si="111"/>
        <v>10935.907581522006</v>
      </c>
      <c r="AC19" s="20">
        <f t="shared" si="111"/>
        <v>10478.990125824004</v>
      </c>
      <c r="AD19" s="20">
        <f t="shared" si="111"/>
        <v>11020.75601418</v>
      </c>
      <c r="AE19" s="20">
        <f t="shared" si="111"/>
        <v>10590.607938849704</v>
      </c>
      <c r="AF19" s="20">
        <f t="shared" si="111"/>
        <v>43026.261660375712</v>
      </c>
      <c r="AG19" s="20">
        <f t="shared" si="111"/>
        <v>11923.992076367285</v>
      </c>
      <c r="AH19" s="20">
        <f t="shared" si="111"/>
        <v>11425.791073781767</v>
      </c>
      <c r="AI19" s="20">
        <f t="shared" si="111"/>
        <v>12016.506760783204</v>
      </c>
      <c r="AJ19" s="20">
        <f t="shared" si="111"/>
        <v>11550.549598163972</v>
      </c>
      <c r="AK19" s="20">
        <f t="shared" si="111"/>
        <v>46916.839509096229</v>
      </c>
      <c r="AL19" s="20">
        <f t="shared" si="111"/>
        <v>12753.511622244343</v>
      </c>
      <c r="AM19" s="20">
        <f t="shared" si="111"/>
        <v>12220.652137266898</v>
      </c>
      <c r="AN19" s="20">
        <f t="shared" si="111"/>
        <v>12852.462300454303</v>
      </c>
      <c r="AO19" s="20">
        <f t="shared" si="111"/>
        <v>12357.332211962674</v>
      </c>
      <c r="AP19" s="20">
        <f t="shared" si="111"/>
        <v>50183.958271928226</v>
      </c>
      <c r="AQ19" s="20">
        <f t="shared" si="111"/>
        <v>13643.057008439271</v>
      </c>
      <c r="AR19" s="20">
        <f t="shared" si="111"/>
        <v>13073.031077827733</v>
      </c>
      <c r="AS19" s="20">
        <f t="shared" si="111"/>
        <v>13748.909402966248</v>
      </c>
      <c r="AT19" s="20">
        <f t="shared" si="111"/>
        <v>13222.684395272574</v>
      </c>
      <c r="AU19" s="20">
        <f t="shared" si="111"/>
        <v>53687.68188450583</v>
      </c>
    </row>
    <row r="20" spans="1:47" s="21" customFormat="1" x14ac:dyDescent="0.25">
      <c r="A20" s="34" t="s">
        <v>149</v>
      </c>
      <c r="B20" s="35" t="s">
        <v>145</v>
      </c>
      <c r="C20" s="29">
        <f>IFERROR(C19/C9,"na")</f>
        <v>0.49053393763695502</v>
      </c>
      <c r="D20" s="29">
        <f t="shared" ref="D20:AU20" si="112">IFERROR(D19/D9,"na")</f>
        <v>0.51862036574095116</v>
      </c>
      <c r="E20" s="29">
        <f t="shared" si="112"/>
        <v>0.51649640051378554</v>
      </c>
      <c r="F20" s="29">
        <f t="shared" si="112"/>
        <v>0.55291936978683964</v>
      </c>
      <c r="G20" s="29">
        <f t="shared" si="112"/>
        <v>0.51833055527102401</v>
      </c>
      <c r="H20" s="29">
        <f t="shared" si="112"/>
        <v>0.52343296991786514</v>
      </c>
      <c r="I20" s="29">
        <f t="shared" si="112"/>
        <v>0.53459878110716097</v>
      </c>
      <c r="J20" s="29">
        <f t="shared" si="112"/>
        <v>0.53192190954397267</v>
      </c>
      <c r="K20" s="29">
        <f t="shared" si="112"/>
        <v>0.53119909834104029</v>
      </c>
      <c r="L20" s="29">
        <f t="shared" si="112"/>
        <v>0.53005898386800998</v>
      </c>
      <c r="M20" s="29">
        <f t="shared" si="112"/>
        <v>0.51723438767234398</v>
      </c>
      <c r="N20" s="29">
        <f t="shared" si="112"/>
        <v>0.53003850000326824</v>
      </c>
      <c r="O20" s="29">
        <f t="shared" si="112"/>
        <v>0.53422775293278879</v>
      </c>
      <c r="P20" s="29">
        <f t="shared" si="112"/>
        <v>0.52069265001918796</v>
      </c>
      <c r="Q20" s="29">
        <f t="shared" si="112"/>
        <v>0.52560374568753088</v>
      </c>
      <c r="R20" s="29">
        <f t="shared" si="112"/>
        <v>0.50526424836565675</v>
      </c>
      <c r="S20" s="29">
        <f t="shared" si="112"/>
        <v>0.49405954115076489</v>
      </c>
      <c r="T20" s="29">
        <f t="shared" si="112"/>
        <v>0.47238002488773456</v>
      </c>
      <c r="U20" s="29">
        <f>IFERROR(U19/U9,"na")</f>
        <v>0.49966189475821077</v>
      </c>
      <c r="V20" s="29">
        <f>IFERROR(V19/V9,"na")</f>
        <v>0.4927313727711875</v>
      </c>
      <c r="W20" s="29">
        <f t="shared" si="112"/>
        <v>0.51</v>
      </c>
      <c r="X20" s="29">
        <f t="shared" si="112"/>
        <v>0.51</v>
      </c>
      <c r="Y20" s="29">
        <f t="shared" si="112"/>
        <v>0.51</v>
      </c>
      <c r="Z20" s="29">
        <f t="shared" si="112"/>
        <v>0.51</v>
      </c>
      <c r="AA20" s="29">
        <f t="shared" si="112"/>
        <v>0.51</v>
      </c>
      <c r="AB20" s="29">
        <f t="shared" si="112"/>
        <v>0.51</v>
      </c>
      <c r="AC20" s="29">
        <f t="shared" si="112"/>
        <v>0.51</v>
      </c>
      <c r="AD20" s="29">
        <f t="shared" si="112"/>
        <v>0.51</v>
      </c>
      <c r="AE20" s="29">
        <f t="shared" si="112"/>
        <v>0.51</v>
      </c>
      <c r="AF20" s="29">
        <f t="shared" si="112"/>
        <v>0.51</v>
      </c>
      <c r="AG20" s="29">
        <f t="shared" si="112"/>
        <v>0.52</v>
      </c>
      <c r="AH20" s="29">
        <f t="shared" si="112"/>
        <v>0.52</v>
      </c>
      <c r="AI20" s="29">
        <f t="shared" si="112"/>
        <v>0.52</v>
      </c>
      <c r="AJ20" s="29">
        <f t="shared" si="112"/>
        <v>0.52</v>
      </c>
      <c r="AK20" s="29">
        <f t="shared" si="112"/>
        <v>0.52</v>
      </c>
      <c r="AL20" s="29">
        <f t="shared" si="112"/>
        <v>0.52</v>
      </c>
      <c r="AM20" s="29">
        <f t="shared" si="112"/>
        <v>0.52</v>
      </c>
      <c r="AN20" s="29">
        <f t="shared" si="112"/>
        <v>0.52</v>
      </c>
      <c r="AO20" s="29">
        <f t="shared" si="112"/>
        <v>0.52</v>
      </c>
      <c r="AP20" s="29">
        <f t="shared" si="112"/>
        <v>0.52000000000000013</v>
      </c>
      <c r="AQ20" s="29">
        <f t="shared" si="112"/>
        <v>0.52</v>
      </c>
      <c r="AR20" s="29">
        <f t="shared" si="112"/>
        <v>0.52</v>
      </c>
      <c r="AS20" s="29">
        <f t="shared" si="112"/>
        <v>0.52</v>
      </c>
      <c r="AT20" s="29">
        <f t="shared" si="112"/>
        <v>0.52</v>
      </c>
      <c r="AU20" s="29">
        <f t="shared" si="112"/>
        <v>0.52</v>
      </c>
    </row>
    <row r="21" spans="1:47" x14ac:dyDescent="0.25">
      <c r="A21" s="9" t="s">
        <v>56</v>
      </c>
      <c r="B21" s="9" t="s">
        <v>146</v>
      </c>
      <c r="C21" s="12">
        <v>-1423</v>
      </c>
      <c r="D21" s="12">
        <v>-1393.3</v>
      </c>
      <c r="E21" s="12">
        <v>-1441.7</v>
      </c>
      <c r="F21" s="12">
        <v>-1485.4</v>
      </c>
      <c r="G21" s="10">
        <f t="shared" ref="G21:G23" si="113">C21+D21+E21+F21</f>
        <v>-5743.4</v>
      </c>
      <c r="H21" s="12">
        <v>-1625.2</v>
      </c>
      <c r="I21" s="12">
        <v>-1562.4</v>
      </c>
      <c r="J21" s="12">
        <v>-1652.6</v>
      </c>
      <c r="K21" s="12">
        <v>-1612.5</v>
      </c>
      <c r="L21" s="10">
        <f t="shared" ref="L21:L23" si="114">H21+I21+J21+K21</f>
        <v>-6452.7000000000007</v>
      </c>
      <c r="M21" s="12">
        <v>-1809.2</v>
      </c>
      <c r="N21" s="12">
        <v>-1837</v>
      </c>
      <c r="O21" s="12">
        <v>-1743.3</v>
      </c>
      <c r="P21" s="12">
        <v>-1734.5</v>
      </c>
      <c r="Q21" s="10">
        <f t="shared" si="110"/>
        <v>-7124</v>
      </c>
      <c r="R21" s="12">
        <v>-2071</v>
      </c>
      <c r="S21" s="12">
        <v>-2037</v>
      </c>
      <c r="T21" s="12">
        <v>-2087.4</v>
      </c>
      <c r="U21" s="10">
        <f>IFERROR((P21*(1+U22)),"na")</f>
        <v>-1954.4155245625964</v>
      </c>
      <c r="V21" s="10">
        <f t="shared" ref="V21:V23" si="115">R21+S21+T21+U21</f>
        <v>-8149.8155245625958</v>
      </c>
      <c r="W21" s="10">
        <f>IFERROR((R21*(1+W22)),"na")</f>
        <v>-2352.1318757325857</v>
      </c>
      <c r="X21" s="10">
        <f t="shared" ref="X21:Z21" si="116">IFERROR((S21*(1+X22)),"na")</f>
        <v>-2304.3928390756323</v>
      </c>
      <c r="Y21" s="10">
        <f t="shared" si="116"/>
        <v>-2366.0834348139388</v>
      </c>
      <c r="Z21" s="10">
        <f t="shared" si="116"/>
        <v>-2213.1561050229807</v>
      </c>
      <c r="AA21" s="10">
        <f t="shared" ref="AA21" si="117">W21+X21+Y21+Z21</f>
        <v>-9235.764254645137</v>
      </c>
      <c r="AB21" s="10">
        <f t="shared" ref="AB21:AE21" si="118">IFERROR((W21*(1+AB22)),"na")</f>
        <v>-2664.8420980978717</v>
      </c>
      <c r="AC21" s="10">
        <f t="shared" si="118"/>
        <v>-2610.111192224193</v>
      </c>
      <c r="AD21" s="10">
        <f t="shared" si="118"/>
        <v>-2680.3173083121105</v>
      </c>
      <c r="AE21" s="10">
        <f t="shared" si="118"/>
        <v>-2506.9251811985296</v>
      </c>
      <c r="AF21" s="10">
        <f t="shared" ref="AF21" si="119">AB21+AC21+AD21+AE21</f>
        <v>-10462.195779832706</v>
      </c>
      <c r="AG21" s="10">
        <f t="shared" ref="AG21:AJ21" si="120">IFERROR((AB21*(1+AG22)),"na")</f>
        <v>-3018.6601462307899</v>
      </c>
      <c r="AH21" s="10">
        <f t="shared" si="120"/>
        <v>-2956.616808640726</v>
      </c>
      <c r="AI21" s="10">
        <f t="shared" si="120"/>
        <v>-3036.166593207704</v>
      </c>
      <c r="AJ21" s="10">
        <f t="shared" si="120"/>
        <v>-2839.7432919113726</v>
      </c>
      <c r="AK21" s="10">
        <f t="shared" ref="AK21" si="121">AG21+AH21+AI21+AJ21</f>
        <v>-11851.186839990592</v>
      </c>
      <c r="AL21" s="10">
        <f t="shared" ref="AL21:AO21" si="122">IFERROR((AG21*(1+AL22)),"na")</f>
        <v>-3419.422532149274</v>
      </c>
      <c r="AM21" s="10">
        <f t="shared" si="122"/>
        <v>-3349.1389839115404</v>
      </c>
      <c r="AN21" s="10">
        <f t="shared" si="122"/>
        <v>-3439.2515043821863</v>
      </c>
      <c r="AO21" s="10">
        <f t="shared" si="122"/>
        <v>-3216.7500471159506</v>
      </c>
      <c r="AP21" s="10">
        <f t="shared" ref="AP21" si="123">AL21+AM21+AN21+AO21</f>
        <v>-13424.563067558951</v>
      </c>
      <c r="AQ21" s="10">
        <f t="shared" ref="AQ21:AT21" si="124">IFERROR((AL21*(1+AQ22)),"na")</f>
        <v>-3873.3884678943841</v>
      </c>
      <c r="AR21" s="10">
        <f t="shared" si="124"/>
        <v>-3793.7737770086333</v>
      </c>
      <c r="AS21" s="10">
        <f t="shared" si="124"/>
        <v>-3895.8498366742165</v>
      </c>
      <c r="AT21" s="10">
        <f t="shared" si="124"/>
        <v>-3643.8088173214219</v>
      </c>
      <c r="AU21" s="10">
        <f t="shared" ref="AU21" si="125">AQ21+AR21+AS21+AT21</f>
        <v>-15206.820898898655</v>
      </c>
    </row>
    <row r="22" spans="1:47" s="21" customFormat="1" x14ac:dyDescent="0.25">
      <c r="A22" s="34" t="s">
        <v>144</v>
      </c>
      <c r="B22" s="35" t="s">
        <v>145</v>
      </c>
      <c r="C22" s="28" t="s">
        <v>147</v>
      </c>
      <c r="D22" s="28" t="s">
        <v>147</v>
      </c>
      <c r="E22" s="28" t="s">
        <v>147</v>
      </c>
      <c r="F22" s="28" t="s">
        <v>147</v>
      </c>
      <c r="G22" s="28" t="s">
        <v>147</v>
      </c>
      <c r="H22" s="29">
        <f>IFERROR(H21/C21-1,"na")</f>
        <v>0.14209416725228396</v>
      </c>
      <c r="I22" s="29">
        <f t="shared" ref="I22" si="126">IFERROR(I21/D21-1,"na")</f>
        <v>0.12136653986937507</v>
      </c>
      <c r="J22" s="29">
        <f t="shared" ref="J22" si="127">IFERROR(J21/E21-1,"na")</f>
        <v>0.14628563501421921</v>
      </c>
      <c r="K22" s="29">
        <f t="shared" ref="K22" si="128">IFERROR(K21/F21-1,"na")</f>
        <v>8.5566177460616677E-2</v>
      </c>
      <c r="L22" s="29">
        <f t="shared" ref="L22" si="129">IFERROR(L21/G21-1,"na")</f>
        <v>0.12349827628234178</v>
      </c>
      <c r="M22" s="29">
        <f t="shared" ref="M22" si="130">IFERROR(M21/H21-1,"na")</f>
        <v>0.11321683485109535</v>
      </c>
      <c r="N22" s="29">
        <f t="shared" ref="N22" si="131">IFERROR(N21/I21-1,"na")</f>
        <v>0.17575524833589351</v>
      </c>
      <c r="O22" s="29">
        <f t="shared" ref="O22" si="132">IFERROR(O21/J21-1,"na")</f>
        <v>5.488321432893617E-2</v>
      </c>
      <c r="P22" s="29">
        <f t="shared" ref="P22" si="133">IFERROR(P21/K21-1,"na")</f>
        <v>7.5658914728682136E-2</v>
      </c>
      <c r="Q22" s="29">
        <f t="shared" ref="Q22" si="134">IFERROR(Q21/L21-1,"na")</f>
        <v>0.10403397027600847</v>
      </c>
      <c r="R22" s="29">
        <f t="shared" ref="R22" si="135">IFERROR(R21/M21-1,"na")</f>
        <v>0.14470484191908017</v>
      </c>
      <c r="S22" s="29">
        <f t="shared" ref="S22" si="136">IFERROR(S21/N21-1,"na")</f>
        <v>0.10887316276537828</v>
      </c>
      <c r="T22" s="29">
        <f t="shared" ref="T22" si="137">IFERROR(T21/O21-1,"na")</f>
        <v>0.19738427120977464</v>
      </c>
      <c r="U22" s="36">
        <f>MEDIAN(P22,R22:T22)</f>
        <v>0.12678900234222923</v>
      </c>
      <c r="V22" s="29">
        <f t="shared" ref="V22" si="138">IFERROR(V21/Q21-1,"na")</f>
        <v>0.14399431843944344</v>
      </c>
      <c r="W22" s="36">
        <f>MEDIAN(R22:U22)</f>
        <v>0.1357469221306547</v>
      </c>
      <c r="X22" s="36">
        <f>MEDIAN(S22:U22,W22)</f>
        <v>0.13126796223644197</v>
      </c>
      <c r="Y22" s="36">
        <f>MEDIAN(T22:U22,W22:X22)</f>
        <v>0.13350744218354832</v>
      </c>
      <c r="Z22" s="36">
        <f t="shared" ref="Z22" si="139">MEDIAN(U22,W22:Y22)</f>
        <v>0.13238770220999513</v>
      </c>
      <c r="AA22" s="29">
        <f t="shared" ref="AA22" si="140">IFERROR(AA21/V21-1,"na")</f>
        <v>0.13324825903232029</v>
      </c>
      <c r="AB22" s="36">
        <f t="shared" ref="AB22" si="141">MEDIAN(W22:Z22)</f>
        <v>0.13294757219677172</v>
      </c>
      <c r="AC22" s="36">
        <f t="shared" ref="AC22" si="142">MEDIAN(X22:Z22,AB22)</f>
        <v>0.13266763720338343</v>
      </c>
      <c r="AD22" s="36">
        <f t="shared" ref="AD22" si="143">MEDIAN(Y22:Z22,AB22:AC22)</f>
        <v>0.13280760470007758</v>
      </c>
      <c r="AE22" s="36">
        <f t="shared" ref="AE22" si="144">MEDIAN(Z22,AB22:AD22)</f>
        <v>0.1327376209517305</v>
      </c>
      <c r="AF22" s="29">
        <f t="shared" ref="AF22" si="145">IFERROR(AF21/AA21-1,"na")</f>
        <v>0.13279155805332876</v>
      </c>
      <c r="AG22" s="36">
        <f t="shared" ref="AG22" si="146">MEDIAN(AB22:AE22)</f>
        <v>0.13277261282590402</v>
      </c>
      <c r="AH22" s="36">
        <f t="shared" ref="AH22" si="147">MEDIAN(AC22:AE22,AG22)</f>
        <v>0.13275511688881725</v>
      </c>
      <c r="AI22" s="36">
        <f t="shared" ref="AI22" si="148">MEDIAN(AD22:AE22,AG22:AH22)</f>
        <v>0.13276386485736064</v>
      </c>
      <c r="AJ22" s="36">
        <f t="shared" ref="AJ22" si="149">MEDIAN(AE22,AG22:AI22)</f>
        <v>0.13275949087308894</v>
      </c>
      <c r="AK22" s="29">
        <f t="shared" ref="AK22" si="150">IFERROR(AK21/AF21-1,"na")</f>
        <v>0.13276286253745639</v>
      </c>
      <c r="AL22" s="36">
        <f t="shared" ref="AL22" si="151">MEDIAN(AG22:AJ22)</f>
        <v>0.1327616778652248</v>
      </c>
      <c r="AM22" s="36">
        <f t="shared" ref="AM22" si="152">MEDIAN(AH22:AJ22,AL22)</f>
        <v>0.13276058436915689</v>
      </c>
      <c r="AN22" s="36">
        <f t="shared" ref="AN22" si="153">MEDIAN(AI22:AJ22,AL22:AM22)</f>
        <v>0.13276113111719084</v>
      </c>
      <c r="AO22" s="36">
        <f t="shared" ref="AO22" si="154">MEDIAN(AJ22,AL22:AN22)</f>
        <v>0.13276085774317387</v>
      </c>
      <c r="AP22" s="29">
        <f t="shared" ref="AP22" si="155">IFERROR(AP21/AK21-1,"na")</f>
        <v>0.13276106847452307</v>
      </c>
      <c r="AQ22" s="36">
        <f t="shared" ref="AQ22" si="156">MEDIAN(AL22:AO22)</f>
        <v>0.13276099443018236</v>
      </c>
      <c r="AR22" s="36">
        <f t="shared" ref="AR22" si="157">MEDIAN(AM22:AO22,AQ22)</f>
        <v>0.13276092608667811</v>
      </c>
      <c r="AS22" s="36">
        <f t="shared" ref="AS22" si="158">MEDIAN(AN22:AO22,AQ22:AR22)</f>
        <v>0.13276096025843023</v>
      </c>
      <c r="AT22" s="36">
        <f t="shared" ref="AT22" si="159">MEDIAN(AO22,AQ22:AS22)</f>
        <v>0.13276094317255416</v>
      </c>
      <c r="AU22" s="29">
        <f t="shared" ref="AU22" si="160">IFERROR(AU21/AP21-1,"na")</f>
        <v>0.13276095634327256</v>
      </c>
    </row>
    <row r="23" spans="1:47" x14ac:dyDescent="0.25">
      <c r="A23" s="9" t="s">
        <v>57</v>
      </c>
      <c r="B23" s="9" t="s">
        <v>146</v>
      </c>
      <c r="C23" s="12">
        <v>-2348.3000000000002</v>
      </c>
      <c r="D23" s="12">
        <v>-2438.9</v>
      </c>
      <c r="E23" s="12">
        <v>-2522</v>
      </c>
      <c r="F23" s="12">
        <v>-2991.8</v>
      </c>
      <c r="G23" s="10">
        <f t="shared" si="113"/>
        <v>-10301</v>
      </c>
      <c r="H23" s="12">
        <v>-2646.1</v>
      </c>
      <c r="I23" s="12">
        <v>-2791.1</v>
      </c>
      <c r="J23" s="12">
        <v>-2536.3000000000002</v>
      </c>
      <c r="K23" s="12">
        <v>-2690.1</v>
      </c>
      <c r="L23" s="10">
        <f t="shared" si="114"/>
        <v>-10663.6</v>
      </c>
      <c r="M23" s="12">
        <v>-2889.1</v>
      </c>
      <c r="N23" s="12">
        <v>-2511.3000000000002</v>
      </c>
      <c r="O23" s="12">
        <v>-2796.8</v>
      </c>
      <c r="P23" s="12">
        <v>-3260.1</v>
      </c>
      <c r="Q23" s="10">
        <f t="shared" si="110"/>
        <v>-11457.300000000001</v>
      </c>
      <c r="R23" s="12">
        <v>-3379.3</v>
      </c>
      <c r="S23" s="12">
        <v>-2997.4</v>
      </c>
      <c r="T23" s="12">
        <v>-3276.1</v>
      </c>
      <c r="U23" s="10">
        <f>U24-U19-U21</f>
        <v>-3418.3252617065436</v>
      </c>
      <c r="V23" s="10">
        <f t="shared" si="115"/>
        <v>-13071.125261706544</v>
      </c>
      <c r="W23" s="10">
        <f t="shared" ref="W23:Z23" si="161">W24-W19-W21</f>
        <v>-3667.7973681324215</v>
      </c>
      <c r="X23" s="10">
        <f t="shared" si="161"/>
        <v>-3522.583274093497</v>
      </c>
      <c r="Y23" s="10">
        <f t="shared" si="161"/>
        <v>-3792.7991050197843</v>
      </c>
      <c r="Z23" s="10">
        <f t="shared" si="161"/>
        <v>-3686.7973355057879</v>
      </c>
      <c r="AA23" s="10">
        <f t="shared" ref="AA23" si="162">W23+X23+Y23+Z23</f>
        <v>-14669.977082751491</v>
      </c>
      <c r="AB23" s="10">
        <f t="shared" ref="AB23" si="163">AB24-AB19-AB21</f>
        <v>-3992.0871537824287</v>
      </c>
      <c r="AC23" s="10">
        <f t="shared" ref="AC23" si="164">AC24-AC19-AC21</f>
        <v>-3772.7624256763424</v>
      </c>
      <c r="AD23" s="10">
        <f t="shared" ref="AD23" si="165">AD24-AD19-AD21</f>
        <v>-4034.5503569446187</v>
      </c>
      <c r="AE23" s="10">
        <f t="shared" ref="AE23" si="166">AE24-AE19-AE21</f>
        <v>-3944.924617534095</v>
      </c>
      <c r="AF23" s="10">
        <f t="shared" ref="AF23" si="167">AB23+AC23+AD23+AE23</f>
        <v>-15744.324553937484</v>
      </c>
      <c r="AG23" s="10">
        <f t="shared" ref="AG23" si="168">AG24-AG19-AG21</f>
        <v>-4334.3399879761628</v>
      </c>
      <c r="AH23" s="10">
        <f t="shared" ref="AH23" si="169">AH24-AH19-AH21</f>
        <v>-4089.5154154306265</v>
      </c>
      <c r="AI23" s="10">
        <f t="shared" ref="AI23" si="170">AI24-AI19-AI21</f>
        <v>-4374.2891415335134</v>
      </c>
      <c r="AJ23" s="10">
        <f t="shared" ref="AJ23" si="171">AJ24-AJ19-AJ21</f>
        <v>-4283.3715126102516</v>
      </c>
      <c r="AK23" s="10">
        <f t="shared" ref="AK23" si="172">AG23+AH23+AI23+AJ23</f>
        <v>-17081.516057550554</v>
      </c>
      <c r="AL23" s="10">
        <f t="shared" ref="AL23" si="173">AL24-AL19-AL21</f>
        <v>-4445.3020218086076</v>
      </c>
      <c r="AM23" s="10">
        <f t="shared" ref="AM23" si="174">AM24-AM19-AM21</f>
        <v>-4187.0878393534058</v>
      </c>
      <c r="AN23" s="10">
        <f t="shared" ref="AN23" si="175">AN24-AN19-AN21</f>
        <v>-4486.505744404014</v>
      </c>
      <c r="AO23" s="10">
        <f t="shared" ref="AO23" si="176">AO24-AO19-AO21</f>
        <v>-4403.7467346878148</v>
      </c>
      <c r="AP23" s="10">
        <f t="shared" ref="AP23" si="177">AL23+AM23+AN23+AO23</f>
        <v>-17522.642340253842</v>
      </c>
      <c r="AQ23" s="10">
        <f t="shared" ref="AQ23" si="178">AQ24-AQ19-AQ21</f>
        <v>-4539.7761214822449</v>
      </c>
      <c r="AR23" s="10">
        <f t="shared" ref="AR23" si="179">AR24-AR19-AR21</f>
        <v>-4267.9618304504265</v>
      </c>
      <c r="AS23" s="10">
        <f t="shared" ref="AS23" si="180">AS24-AS19-AS21</f>
        <v>-4582.576343775796</v>
      </c>
      <c r="AT23" s="10">
        <f t="shared" ref="AT23" si="181">AT24-AT19-AT21</f>
        <v>-4510.1907884945904</v>
      </c>
      <c r="AU23" s="10">
        <f t="shared" ref="AU23" si="182">AQ23+AR23+AS23+AT23</f>
        <v>-17900.505084203058</v>
      </c>
    </row>
    <row r="24" spans="1:47" s="8" customFormat="1" x14ac:dyDescent="0.25">
      <c r="A24" s="8" t="s">
        <v>58</v>
      </c>
      <c r="B24" s="8" t="s">
        <v>146</v>
      </c>
      <c r="C24" s="20">
        <f>C19+C21+C23</f>
        <v>3436.8999999999996</v>
      </c>
      <c r="D24" s="20">
        <f t="shared" ref="D24:S24" si="183">D19+D21+D23</f>
        <v>3013.9</v>
      </c>
      <c r="E24" s="20">
        <f t="shared" si="183"/>
        <v>2952.6000000000004</v>
      </c>
      <c r="F24" s="20">
        <f t="shared" si="183"/>
        <v>2383.6999999999998</v>
      </c>
      <c r="G24" s="20">
        <f t="shared" si="183"/>
        <v>11787.099999999999</v>
      </c>
      <c r="H24" s="20">
        <f t="shared" si="183"/>
        <v>3943.3000000000006</v>
      </c>
      <c r="I24" s="20">
        <f t="shared" si="183"/>
        <v>3225.4</v>
      </c>
      <c r="J24" s="20">
        <f t="shared" si="183"/>
        <v>2908.7999999999984</v>
      </c>
      <c r="K24" s="20">
        <f t="shared" si="183"/>
        <v>2578.5000000000023</v>
      </c>
      <c r="L24" s="20">
        <f t="shared" si="183"/>
        <v>12655.999999999991</v>
      </c>
      <c r="M24" s="20">
        <f t="shared" si="183"/>
        <v>3209.8000000000015</v>
      </c>
      <c r="N24" s="20">
        <f t="shared" si="183"/>
        <v>3760.6000000000004</v>
      </c>
      <c r="O24" s="20">
        <f t="shared" si="183"/>
        <v>3702.4999999999982</v>
      </c>
      <c r="P24" s="20">
        <f t="shared" si="183"/>
        <v>2739.3000000000006</v>
      </c>
      <c r="Q24" s="20">
        <f t="shared" si="183"/>
        <v>13412.200000000003</v>
      </c>
      <c r="R24" s="20">
        <f t="shared" si="183"/>
        <v>3816.6000000000013</v>
      </c>
      <c r="S24" s="20">
        <f t="shared" si="183"/>
        <v>3648.4000000000028</v>
      </c>
      <c r="T24" s="20">
        <f>T19+T21+T23</f>
        <v>3367.4999999999986</v>
      </c>
      <c r="U24" s="20">
        <f>'Operational Drivers'!U43</f>
        <v>3491.4796118964682</v>
      </c>
      <c r="V24" s="20">
        <f>R24+S24+T24+U24</f>
        <v>14323.97961189647</v>
      </c>
      <c r="W24" s="20">
        <f>'Operational Drivers'!W43</f>
        <v>3982.0431162349951</v>
      </c>
      <c r="X24" s="20">
        <f>'Operational Drivers'!X43</f>
        <v>3757.0999060308741</v>
      </c>
      <c r="Y24" s="20">
        <f>'Operational Drivers'!Y43</f>
        <v>3920.6921291662784</v>
      </c>
      <c r="Z24" s="20">
        <f>'Operational Drivers'!Z43</f>
        <v>3779.8981346153382</v>
      </c>
      <c r="AA24" s="20">
        <f>W24+X24+Y24+Z24</f>
        <v>15439.733286047485</v>
      </c>
      <c r="AB24" s="20">
        <f>'Operational Drivers'!AB43</f>
        <v>4278.9783296417054</v>
      </c>
      <c r="AC24" s="20">
        <f>'Operational Drivers'!AC43</f>
        <v>4096.1165079234688</v>
      </c>
      <c r="AD24" s="20">
        <f>'Operational Drivers'!AD43</f>
        <v>4305.8883489232712</v>
      </c>
      <c r="AE24" s="20">
        <f>'Operational Drivers'!AE43</f>
        <v>4138.7581401170792</v>
      </c>
      <c r="AF24" s="20">
        <f t="shared" ref="AF24" si="184">AB24+AC24+AD24+AE24</f>
        <v>16819.741326605526</v>
      </c>
      <c r="AG24" s="20">
        <f>'Operational Drivers'!AG43</f>
        <v>4570.9919421603327</v>
      </c>
      <c r="AH24" s="20">
        <f>'Operational Drivers'!AH43</f>
        <v>4379.6588497104149</v>
      </c>
      <c r="AI24" s="20">
        <f>'Operational Drivers'!AI43</f>
        <v>4606.0510260419869</v>
      </c>
      <c r="AJ24" s="20">
        <f>'Operational Drivers'!AJ43</f>
        <v>4427.4347936423483</v>
      </c>
      <c r="AK24" s="20">
        <f t="shared" ref="AK24" si="185">AG24+AH24+AI24+AJ24</f>
        <v>17984.136611555081</v>
      </c>
      <c r="AL24" s="20">
        <f>'Operational Drivers'!AL43</f>
        <v>4888.7870682864614</v>
      </c>
      <c r="AM24" s="20">
        <f>'Operational Drivers'!AM43</f>
        <v>4684.4253140019518</v>
      </c>
      <c r="AN24" s="20">
        <f>'Operational Drivers'!AN43</f>
        <v>4926.7050516681029</v>
      </c>
      <c r="AO24" s="20">
        <f>'Operational Drivers'!AO43</f>
        <v>4736.8354301589079</v>
      </c>
      <c r="AP24" s="20">
        <f t="shared" ref="AP24" si="186">AL24+AM24+AN24+AO24</f>
        <v>19236.752864115424</v>
      </c>
      <c r="AQ24" s="20">
        <f>'Operational Drivers'!AQ43</f>
        <v>5229.8924190626431</v>
      </c>
      <c r="AR24" s="20">
        <f>'Operational Drivers'!AR43</f>
        <v>5011.2954703686728</v>
      </c>
      <c r="AS24" s="20">
        <f>'Operational Drivers'!AS43</f>
        <v>5270.4832225162345</v>
      </c>
      <c r="AT24" s="20">
        <f>'Operational Drivers'!AT43</f>
        <v>5068.6847894565617</v>
      </c>
      <c r="AU24" s="20">
        <f t="shared" ref="AU24" si="187">AQ24+AR24+AS24+AT24</f>
        <v>20580.355901404113</v>
      </c>
    </row>
    <row r="25" spans="1:47" s="21" customFormat="1" x14ac:dyDescent="0.25">
      <c r="A25" s="34" t="s">
        <v>144</v>
      </c>
      <c r="B25" s="35" t="s">
        <v>145</v>
      </c>
      <c r="C25" s="28" t="s">
        <v>147</v>
      </c>
      <c r="D25" s="28" t="s">
        <v>147</v>
      </c>
      <c r="E25" s="28" t="s">
        <v>147</v>
      </c>
      <c r="F25" s="28" t="s">
        <v>147</v>
      </c>
      <c r="G25" s="28" t="s">
        <v>147</v>
      </c>
      <c r="H25" s="29">
        <f>IFERROR(H24/C24-1,"na")</f>
        <v>0.14734208152695771</v>
      </c>
      <c r="I25" s="29">
        <f t="shared" ref="I25" si="188">IFERROR(I24/D24-1,"na")</f>
        <v>7.0174856498224969E-2</v>
      </c>
      <c r="J25" s="29">
        <f t="shared" ref="J25" si="189">IFERROR(J24/E24-1,"na")</f>
        <v>-1.4834383255436512E-2</v>
      </c>
      <c r="K25" s="29">
        <f t="shared" ref="K25" si="190">IFERROR(K24/F24-1,"na")</f>
        <v>8.172169316608735E-2</v>
      </c>
      <c r="L25" s="29">
        <f t="shared" ref="L25" si="191">IFERROR(L24/G24-1,"na")</f>
        <v>7.371618124899193E-2</v>
      </c>
      <c r="M25" s="29">
        <f t="shared" ref="M25" si="192">IFERROR(M24/H24-1,"na")</f>
        <v>-0.18601171607536804</v>
      </c>
      <c r="N25" s="29">
        <f t="shared" ref="N25" si="193">IFERROR(N24/I24-1,"na")</f>
        <v>0.16593290754635093</v>
      </c>
      <c r="O25" s="29">
        <f t="shared" ref="O25" si="194">IFERROR(O24/J24-1,"na")</f>
        <v>0.27286166116611676</v>
      </c>
      <c r="P25" s="29">
        <f t="shared" ref="P25" si="195">IFERROR(P24/K24-1,"na")</f>
        <v>6.236183827806796E-2</v>
      </c>
      <c r="Q25" s="29">
        <f t="shared" ref="Q25" si="196">IFERROR(Q24/L24-1,"na")</f>
        <v>5.9750316055626751E-2</v>
      </c>
      <c r="R25" s="29">
        <f t="shared" ref="R25" si="197">IFERROR(R24/M24-1,"na")</f>
        <v>0.18904604648264667</v>
      </c>
      <c r="S25" s="29">
        <f t="shared" ref="S25" si="198">IFERROR(S24/N24-1,"na")</f>
        <v>-2.9835664521618233E-2</v>
      </c>
      <c r="T25" s="29">
        <f t="shared" ref="T25" si="199">IFERROR(T24/O24-1,"na")</f>
        <v>-9.0479405806887181E-2</v>
      </c>
      <c r="U25" s="29">
        <f>IFERROR(U24/P24-1,"na")</f>
        <v>0.27458825681614552</v>
      </c>
      <c r="V25" s="29">
        <f t="shared" ref="V25" si="200">IFERROR(V24/Q24-1,"na")</f>
        <v>6.798136114108555E-2</v>
      </c>
      <c r="W25" s="29">
        <f t="shared" ref="W25" si="201">IFERROR(W24/R24-1,"na")</f>
        <v>4.3348298547134512E-2</v>
      </c>
      <c r="X25" s="29">
        <f t="shared" ref="X25" si="202">IFERROR(X24/S24-1,"na")</f>
        <v>2.9793856493496085E-2</v>
      </c>
      <c r="Y25" s="29">
        <f t="shared" ref="Y25" si="203">IFERROR(Y24/T24-1,"na")</f>
        <v>0.16427383197216927</v>
      </c>
      <c r="Z25" s="29">
        <f t="shared" ref="Z25" si="204">IFERROR(Z24/U24-1,"na")</f>
        <v>8.2606388917794593E-2</v>
      </c>
      <c r="AA25" s="29">
        <f t="shared" ref="AA25" si="205">IFERROR(AA24/V24-1,"na")</f>
        <v>7.7894112137967042E-2</v>
      </c>
      <c r="AB25" s="29">
        <f t="shared" ref="AB25" si="206">IFERROR(AB24/W24-1,"na")</f>
        <v>7.4568558084187941E-2</v>
      </c>
      <c r="AC25" s="29">
        <f t="shared" ref="AC25" si="207">IFERROR(AC24/X24-1,"na")</f>
        <v>9.0233587174088026E-2</v>
      </c>
      <c r="AD25" s="29">
        <f t="shared" ref="AD25" si="208">IFERROR(AD24/Y24-1,"na")</f>
        <v>9.8246994935280441E-2</v>
      </c>
      <c r="AE25" s="29">
        <f t="shared" ref="AE25" si="209">IFERROR(AE24/Z24-1,"na")</f>
        <v>9.4939067858837989E-2</v>
      </c>
      <c r="AF25" s="29">
        <f t="shared" ref="AF25" si="210">IFERROR(AF24/AA24-1,"na")</f>
        <v>8.9380303078494316E-2</v>
      </c>
      <c r="AG25" s="29">
        <f t="shared" ref="AG25" si="211">IFERROR(AG24/AB24-1,"na")</f>
        <v>6.8243769896137563E-2</v>
      </c>
      <c r="AH25" s="29">
        <f t="shared" ref="AH25" si="212">IFERROR(AH24/AC24-1,"na")</f>
        <v>6.922223555859941E-2</v>
      </c>
      <c r="AI25" s="29">
        <f t="shared" ref="AI25" si="213">IFERROR(AI24/AD24-1,"na")</f>
        <v>6.9709814281128324E-2</v>
      </c>
      <c r="AJ25" s="29">
        <f t="shared" ref="AJ25" si="214">IFERROR(AJ24/AE24-1,"na")</f>
        <v>6.9749582785985975E-2</v>
      </c>
      <c r="AK25" s="29">
        <f t="shared" ref="AK25" si="215">IFERROR(AK24/AF24-1,"na")</f>
        <v>6.9227894908687526E-2</v>
      </c>
      <c r="AL25" s="29">
        <f t="shared" ref="AL25" si="216">IFERROR(AL24/AG24-1,"na")</f>
        <v>6.9524324292712159E-2</v>
      </c>
      <c r="AM25" s="29">
        <f t="shared" ref="AM25" si="217">IFERROR(AM24/AH24-1,"na")</f>
        <v>6.9586804531975854E-2</v>
      </c>
      <c r="AN25" s="29">
        <f t="shared" ref="AN25" si="218">IFERROR(AN24/AI24-1,"na")</f>
        <v>6.9615821408226086E-2</v>
      </c>
      <c r="AO25" s="29">
        <f t="shared" ref="AO25" si="219">IFERROR(AO24/AJ24-1,"na")</f>
        <v>6.9882595890706112E-2</v>
      </c>
      <c r="AP25" s="29">
        <f t="shared" ref="AP25" si="220">IFERROR(AP24/AK24-1,"na")</f>
        <v>6.9651175345027072E-2</v>
      </c>
      <c r="AQ25" s="29">
        <f t="shared" ref="AQ25" si="221">IFERROR(AQ24/AL24-1,"na")</f>
        <v>6.9773002180628874E-2</v>
      </c>
      <c r="AR25" s="29">
        <f t="shared" ref="AR25" si="222">IFERROR(AR24/AM24-1,"na")</f>
        <v>6.9778069764436568E-2</v>
      </c>
      <c r="AS25" s="29">
        <f t="shared" ref="AS25" si="223">IFERROR(AS24/AN24-1,"na")</f>
        <v>6.9778516725236939E-2</v>
      </c>
      <c r="AT25" s="29">
        <f t="shared" ref="AT25" si="224">IFERROR(AT24/AO24-1,"na")</f>
        <v>7.0057185686630774E-2</v>
      </c>
      <c r="AU25" s="29">
        <f t="shared" ref="AU25" si="225">IFERROR(AU24/AP24-1,"na")</f>
        <v>6.9845625547078072E-2</v>
      </c>
    </row>
    <row r="26" spans="1:47" s="21" customFormat="1" x14ac:dyDescent="0.25">
      <c r="A26" s="34" t="s">
        <v>150</v>
      </c>
      <c r="B26" s="35" t="s">
        <v>145</v>
      </c>
      <c r="C26" s="29">
        <f>IFERROR(C24/C9,"na")</f>
        <v>0.23388863936412013</v>
      </c>
      <c r="D26" s="29">
        <f t="shared" ref="D26:AU26" si="226">IFERROR(D24/D9,"na")</f>
        <v>0.2283153796039574</v>
      </c>
      <c r="E26" s="29">
        <f t="shared" si="226"/>
        <v>0.2204946679810019</v>
      </c>
      <c r="F26" s="29">
        <f t="shared" si="226"/>
        <v>0.19210218801627915</v>
      </c>
      <c r="G26" s="29">
        <f t="shared" si="226"/>
        <v>0.21952155248675373</v>
      </c>
      <c r="H26" s="29">
        <f t="shared" si="226"/>
        <v>0.251266431752869</v>
      </c>
      <c r="I26" s="29">
        <f t="shared" si="226"/>
        <v>0.22751255572484622</v>
      </c>
      <c r="J26" s="29">
        <f t="shared" si="226"/>
        <v>0.2179937797429459</v>
      </c>
      <c r="K26" s="29">
        <f t="shared" si="226"/>
        <v>0.19905202294289767</v>
      </c>
      <c r="L26" s="29">
        <f t="shared" si="226"/>
        <v>0.22532442907781833</v>
      </c>
      <c r="M26" s="29">
        <f t="shared" si="226"/>
        <v>0.2099390419381002</v>
      </c>
      <c r="N26" s="29">
        <f t="shared" si="226"/>
        <v>0.24581173563766856</v>
      </c>
      <c r="O26" s="29">
        <f t="shared" si="226"/>
        <v>0.23997018601335135</v>
      </c>
      <c r="P26" s="29">
        <f t="shared" si="226"/>
        <v>0.18442614673031224</v>
      </c>
      <c r="Q26" s="29">
        <f t="shared" si="226"/>
        <v>0.22034171184491544</v>
      </c>
      <c r="R26" s="29">
        <f t="shared" si="226"/>
        <v>0.20809456563817091</v>
      </c>
      <c r="S26" s="29">
        <f t="shared" si="226"/>
        <v>0.2075974144209761</v>
      </c>
      <c r="T26" s="29">
        <f t="shared" si="226"/>
        <v>0.18219444895309195</v>
      </c>
      <c r="U26" s="29">
        <f>IFERROR(U24/U9,"na")</f>
        <v>0.19680910898276818</v>
      </c>
      <c r="V26" s="29">
        <f t="shared" si="226"/>
        <v>0.19856210278868677</v>
      </c>
      <c r="W26" s="29">
        <f t="shared" si="226"/>
        <v>0.20304415130972653</v>
      </c>
      <c r="X26" s="29">
        <f t="shared" si="226"/>
        <v>0.19992756195142192</v>
      </c>
      <c r="Y26" s="29">
        <f t="shared" si="226"/>
        <v>0.19837672238536813</v>
      </c>
      <c r="Z26" s="29">
        <f t="shared" si="226"/>
        <v>0.1991505792923404</v>
      </c>
      <c r="AA26" s="29">
        <f t="shared" si="226"/>
        <v>0.20013137600308206</v>
      </c>
      <c r="AB26" s="29">
        <f t="shared" si="226"/>
        <v>0.19955169992516991</v>
      </c>
      <c r="AC26" s="29">
        <f t="shared" si="226"/>
        <v>0.19935312410428493</v>
      </c>
      <c r="AD26" s="29">
        <f t="shared" si="226"/>
        <v>0.19926065463434198</v>
      </c>
      <c r="AE26" s="29">
        <f t="shared" si="226"/>
        <v>0.19930552274688121</v>
      </c>
      <c r="AF26" s="29">
        <f t="shared" si="226"/>
        <v>0.19936819387840615</v>
      </c>
      <c r="AG26" s="29">
        <f t="shared" si="226"/>
        <v>0.19933892900132777</v>
      </c>
      <c r="AH26" s="29">
        <f t="shared" si="226"/>
        <v>0.19932296916187378</v>
      </c>
      <c r="AI26" s="29">
        <f t="shared" si="226"/>
        <v>0.19932136528717137</v>
      </c>
      <c r="AJ26" s="29">
        <f t="shared" si="226"/>
        <v>0.19932091309836719</v>
      </c>
      <c r="AK26" s="29">
        <f t="shared" si="226"/>
        <v>0.19932610840496889</v>
      </c>
      <c r="AL26" s="29">
        <f t="shared" si="226"/>
        <v>0.19933092553700854</v>
      </c>
      <c r="AM26" s="29">
        <f t="shared" si="226"/>
        <v>0.1993266100630367</v>
      </c>
      <c r="AN26" s="29">
        <f t="shared" si="226"/>
        <v>0.19933041365753373</v>
      </c>
      <c r="AO26" s="29">
        <f t="shared" si="226"/>
        <v>0.19932736139424528</v>
      </c>
      <c r="AP26" s="29">
        <f t="shared" si="226"/>
        <v>0.19932886591242718</v>
      </c>
      <c r="AQ26" s="29">
        <f t="shared" si="226"/>
        <v>0.19933538767963288</v>
      </c>
      <c r="AR26" s="29">
        <f t="shared" si="226"/>
        <v>0.19933201635321993</v>
      </c>
      <c r="AS26" s="29">
        <f t="shared" si="226"/>
        <v>0.19933590333478832</v>
      </c>
      <c r="AT26" s="29">
        <f t="shared" si="226"/>
        <v>0.19933290485703067</v>
      </c>
      <c r="AU26" s="29">
        <f t="shared" si="226"/>
        <v>0.19933408731917435</v>
      </c>
    </row>
    <row r="27" spans="1:47" x14ac:dyDescent="0.25">
      <c r="A27" s="9" t="s">
        <v>59</v>
      </c>
      <c r="B27" s="9" t="s">
        <v>146</v>
      </c>
      <c r="C27" s="12">
        <v>-321.39999999999998</v>
      </c>
      <c r="D27" s="12">
        <v>-328.9</v>
      </c>
      <c r="E27" s="12">
        <v>-330.1</v>
      </c>
      <c r="F27" s="12">
        <v>-350.9</v>
      </c>
      <c r="G27" s="10">
        <f t="shared" ref="G27" si="227">C27+D27+E27+F27</f>
        <v>-1331.3</v>
      </c>
      <c r="H27" s="12">
        <v>-257.5</v>
      </c>
      <c r="I27" s="12">
        <v>-302.89999999999998</v>
      </c>
      <c r="J27" s="12">
        <v>-295.10000000000002</v>
      </c>
      <c r="K27" s="12">
        <v>-295.89999999999998</v>
      </c>
      <c r="L27" s="10">
        <f t="shared" ref="L27" si="228">H27+I27+J27+K27</f>
        <v>-1151.4000000000001</v>
      </c>
      <c r="M27" s="12">
        <v>-312.60000000000002</v>
      </c>
      <c r="N27" s="12">
        <v>-296.10000000000002</v>
      </c>
      <c r="O27" s="12">
        <v>-292.39999999999998</v>
      </c>
      <c r="P27" s="12">
        <v>-297.7</v>
      </c>
      <c r="Q27" s="10">
        <f t="shared" si="110"/>
        <v>-1198.8</v>
      </c>
      <c r="R27" s="12">
        <v>-301.10000000000002</v>
      </c>
      <c r="S27" s="12">
        <v>-315.8</v>
      </c>
      <c r="T27" s="12">
        <v>-320.89999999999998</v>
      </c>
      <c r="U27" s="10">
        <f>IFERROR((S82+S91)*U28*0.25,"na")</f>
        <v>-324.08872264040502</v>
      </c>
      <c r="V27" s="10">
        <f t="shared" ref="V27" si="229">R27+S27+T27+U27</f>
        <v>-1261.8887226404051</v>
      </c>
      <c r="W27" s="10">
        <f>IFERROR((V82+V91)*W28*0.25,"na")</f>
        <v>-323.85460159708998</v>
      </c>
      <c r="X27" s="10">
        <f>IFERROR((V82+V91)*X28*0.25,"na")</f>
        <v>-326.09378510923545</v>
      </c>
      <c r="Y27" s="10">
        <f>IFERROR((V82+V91)*Y28*0.25,"na")</f>
        <v>-325.04935811203518</v>
      </c>
      <c r="Z27" s="10">
        <f>IFERROR((V82+V91)*Z28*0.25,"na")</f>
        <v>-325.43240802846276</v>
      </c>
      <c r="AA27" s="10">
        <f t="shared" ref="AA27" si="230">W27+X27+Y27+Z27</f>
        <v>-1300.4301528468234</v>
      </c>
      <c r="AB27" s="10">
        <f t="shared" ref="AB27" si="231">IFERROR((AA82+AA91)*AB28*0.25,"na")</f>
        <v>-342.95717073085041</v>
      </c>
      <c r="AC27" s="10">
        <f t="shared" ref="AC27" si="232">IFERROR((AA82+AA91)*AC28*0.25,"na")</f>
        <v>-343.2876026233385</v>
      </c>
      <c r="AD27" s="10">
        <f t="shared" ref="AD27" si="233">IFERROR((AA82+AA91)*AD28*0.25,"na")</f>
        <v>-343.11011170158457</v>
      </c>
      <c r="AE27" s="10">
        <f t="shared" ref="AE27" si="234">IFERROR((AA82+AA91)*AE28*0.25,"na")</f>
        <v>-343.16369054602342</v>
      </c>
      <c r="AF27" s="10">
        <f t="shared" ref="AF27" si="235">AB27+AC27+AD27+AE27</f>
        <v>-1372.518575601797</v>
      </c>
      <c r="AG27" s="10">
        <f t="shared" ref="AG27" si="236">IFERROR((AF82+AF91)*AG28*0.25,"na")</f>
        <v>-359.37813855283468</v>
      </c>
      <c r="AH27" s="10">
        <f t="shared" ref="AH27" si="237">IFERROR((AF82+AF91)*AH28*0.25,"na")</f>
        <v>-359.4232986604955</v>
      </c>
      <c r="AI27" s="10">
        <f t="shared" ref="AI27" si="238">IFERROR((AF82+AF91)*AI28*0.25,"na")</f>
        <v>-359.39322902000134</v>
      </c>
      <c r="AJ27" s="10">
        <f t="shared" ref="AJ27" si="239">IFERROR((AF82+AF91)*AJ28*0.25,"na")</f>
        <v>-359.40211591749897</v>
      </c>
      <c r="AK27" s="10">
        <f t="shared" ref="AK27" si="240">AG27+AH27+AI27+AJ27</f>
        <v>-1437.5967821508307</v>
      </c>
      <c r="AL27" s="10">
        <f t="shared" ref="AL27" si="241">IFERROR((AK82+AK91)*AL28*0.25,"na")</f>
        <v>-374.19501769878906</v>
      </c>
      <c r="AM27" s="10">
        <f t="shared" ref="AM27" si="242">IFERROR((AK82+AK91)*AM28*0.25,"na")</f>
        <v>-374.20049866461005</v>
      </c>
      <c r="AN27" s="10">
        <f t="shared" ref="AN27" si="243">IFERROR((AK82+AK91)*AN28*0.25,"na")</f>
        <v>-374.19559505475303</v>
      </c>
      <c r="AO27" s="10">
        <f t="shared" ref="AO27" si="244">IFERROR((AK82+AK91)*AO28*0.25,"na")</f>
        <v>-374.19729243088648</v>
      </c>
      <c r="AP27" s="10">
        <f t="shared" ref="AP27" si="245">AL27+AM27+AN27+AO27</f>
        <v>-1496.7884038490388</v>
      </c>
      <c r="AQ27" s="10">
        <f t="shared" ref="AQ27" si="246">IFERROR((AP82+AP91)*AQ28*0.25,"na")</f>
        <v>-389.90453015885743</v>
      </c>
      <c r="AR27" s="10">
        <f t="shared" ref="AR27" si="247">IFERROR((AP82+AP91)*AR28*0.25,"na")</f>
        <v>-389.90507283667517</v>
      </c>
      <c r="AS27" s="10">
        <f t="shared" ref="AS27" si="248">IFERROR((AP82+AP91)*AS28*0.25,"na")</f>
        <v>-389.90432342475464</v>
      </c>
      <c r="AT27" s="10">
        <f t="shared" ref="AT27" si="249">IFERROR((AP82+AP91)*AT28*0.25,"na")</f>
        <v>-389.9046640212315</v>
      </c>
      <c r="AU27" s="10">
        <f t="shared" ref="AU27" si="250">AQ27+AR27+AS27+AT27</f>
        <v>-1559.6185904415188</v>
      </c>
    </row>
    <row r="28" spans="1:47" s="35" customFormat="1" x14ac:dyDescent="0.25">
      <c r="A28" s="34" t="s">
        <v>166</v>
      </c>
      <c r="B28" s="35" t="s">
        <v>145</v>
      </c>
      <c r="C28" s="41" t="s">
        <v>147</v>
      </c>
      <c r="D28" s="41" t="s">
        <v>147</v>
      </c>
      <c r="E28" s="29">
        <f>IFERROR(E27*4/(D82+D91),"na")</f>
        <v>-8.9292235281388216E-2</v>
      </c>
      <c r="F28" s="29">
        <f>IFERROR(F27*4/(D82+D91),"na")</f>
        <v>-9.4918646956192426E-2</v>
      </c>
      <c r="G28" s="41" t="s">
        <v>147</v>
      </c>
      <c r="H28" s="29">
        <f>IFERROR(H27*4/(F82+F91),"na")</f>
        <v>-6.832594793960782E-2</v>
      </c>
      <c r="I28" s="29">
        <f>IFERROR(I27*4/(F82+F91),"na")</f>
        <v>-8.0372542255950322E-2</v>
      </c>
      <c r="J28" s="29">
        <f>IFERROR(J27*4/(I82+I91),"na")</f>
        <v>-8.4914143485047958E-2</v>
      </c>
      <c r="K28" s="29">
        <f>IFERROR(K27*4/(I82+I91),"na")</f>
        <v>-8.5144341095309009E-2</v>
      </c>
      <c r="L28" s="29">
        <f>IFERROR(L27/(G82+G91),"na")</f>
        <v>-7.6379122774431513E-2</v>
      </c>
      <c r="M28" s="29">
        <f>IFERROR(M27*4/(K82+K91),"na")</f>
        <v>-9.6995648227874626E-2</v>
      </c>
      <c r="N28" s="29">
        <f>IFERROR(N27*4/(K82+K91),"na")</f>
        <v>-9.1875916315654754E-2</v>
      </c>
      <c r="O28" s="29">
        <f>IFERROR(O27*4/(N82+N91),"na")</f>
        <v>-9.1249531893646235E-2</v>
      </c>
      <c r="P28" s="29">
        <f>IFERROR(P27*4/(N82+N91),"na")</f>
        <v>-9.2903507676944205E-2</v>
      </c>
      <c r="Q28" s="29">
        <f>IFERROR(Q27/(L82+L91),"na")</f>
        <v>-9.2992948732866357E-2</v>
      </c>
      <c r="R28" s="29">
        <f>IFERROR(R27*4/(P82+P91),"na")</f>
        <v>-8.6491921005385997E-2</v>
      </c>
      <c r="S28" s="29">
        <f>IFERROR(S27*4/(P82+P91),"na")</f>
        <v>-9.0714542190305211E-2</v>
      </c>
      <c r="T28" s="29">
        <f>IFERROR(T27*4/(S82+S91),"na")</f>
        <v>-8.8859352176832607E-2</v>
      </c>
      <c r="U28" s="36">
        <f>AVERAGE(P28,R28,S28,T28)</f>
        <v>-8.9742330762367012E-2</v>
      </c>
      <c r="V28" s="29">
        <f>IFERROR(V27/(Q82+Q91),"na")</f>
        <v>-9.0620375054966257E-2</v>
      </c>
      <c r="W28" s="36">
        <f>AVERAGE(R28,T28,U28,S28)</f>
        <v>-8.8952036533722703E-2</v>
      </c>
      <c r="X28" s="36">
        <f>AVERAGE(S28,U28,W28,T28)</f>
        <v>-8.9567065415806876E-2</v>
      </c>
      <c r="Y28" s="36">
        <f>AVERAGE(T28,W28,X28,U28)</f>
        <v>-8.9280196222182306E-2</v>
      </c>
      <c r="Z28" s="36">
        <f>AVERAGE(U28,X28,Y28,W28)</f>
        <v>-8.9385407233519718E-2</v>
      </c>
      <c r="AA28" s="29">
        <f>IFERROR(AA27/(V82+V91),"na")</f>
        <v>-8.9296176351307904E-2</v>
      </c>
      <c r="AB28" s="36">
        <f t="shared" ref="AB28" si="251">AVERAGE(W28,Y28,Z28,X28)</f>
        <v>-8.9296176351307904E-2</v>
      </c>
      <c r="AC28" s="36">
        <f t="shared" ref="AC28" si="252">AVERAGE(X28,Z28,AB28,Y28)</f>
        <v>-8.9382211305704201E-2</v>
      </c>
      <c r="AD28" s="36">
        <f t="shared" ref="AD28" si="253">AVERAGE(Y28,AB28,AC28,Z28)</f>
        <v>-8.9335997778178536E-2</v>
      </c>
      <c r="AE28" s="36">
        <f t="shared" ref="AE28" si="254">AVERAGE(Z28,AC28,AD28,AB28)</f>
        <v>-8.934994816717759E-2</v>
      </c>
      <c r="AF28" s="29">
        <f t="shared" ref="AF28" si="255">IFERROR(AF27/(AA82+AA91),"na")</f>
        <v>-8.9341083400592061E-2</v>
      </c>
      <c r="AG28" s="36">
        <f t="shared" ref="AG28" si="256">AVERAGE(AB28,AD28,AE28,AC28)</f>
        <v>-8.9341083400592075E-2</v>
      </c>
      <c r="AH28" s="36">
        <f t="shared" ref="AH28" si="257">AVERAGE(AC28,AE28,AG28,AD28)</f>
        <v>-8.9352310162913104E-2</v>
      </c>
      <c r="AI28" s="36">
        <f t="shared" ref="AI28" si="258">AVERAGE(AD28,AG28,AH28,AE28)</f>
        <v>-8.934483487721534E-2</v>
      </c>
      <c r="AJ28" s="36">
        <f t="shared" ref="AJ28" si="259">AVERAGE(AE28,AH28,AI28,AG28)</f>
        <v>-8.9347044151974531E-2</v>
      </c>
      <c r="AK28" s="29">
        <f t="shared" ref="AK28" si="260">IFERROR(AK27/(AF82+AF91),"na")</f>
        <v>-8.9346318148173773E-2</v>
      </c>
      <c r="AL28" s="36">
        <f t="shared" ref="AL28" si="261">AVERAGE(AG28,AI28,AJ28,AH28)</f>
        <v>-8.9346318148173759E-2</v>
      </c>
      <c r="AM28" s="36">
        <f t="shared" ref="AM28" si="262">AVERAGE(AH28,AJ28,AL28,AI28)</f>
        <v>-8.9347626835069194E-2</v>
      </c>
      <c r="AN28" s="36">
        <f t="shared" ref="AN28" si="263">AVERAGE(AI28,AL28,AM28,AJ28)</f>
        <v>-8.9346456003108213E-2</v>
      </c>
      <c r="AO28" s="36">
        <f t="shared" ref="AO28" si="264">AVERAGE(AJ28,AM28,AN28,AL28)</f>
        <v>-8.9346861284581414E-2</v>
      </c>
      <c r="AP28" s="29">
        <f t="shared" ref="AP28" si="265">IFERROR(AP27/(AK82+AK91),"na")</f>
        <v>-8.9346815567733148E-2</v>
      </c>
      <c r="AQ28" s="36">
        <f t="shared" ref="AQ28" si="266">AVERAGE(AL28,AN28,AO28,AM28)</f>
        <v>-8.9346815567733148E-2</v>
      </c>
      <c r="AR28" s="36">
        <f t="shared" ref="AR28" si="267">AVERAGE(AM28,AO28,AQ28,AN28)</f>
        <v>-8.9346939922622992E-2</v>
      </c>
      <c r="AS28" s="36">
        <f t="shared" ref="AS28" si="268">AVERAGE(AN28,AQ28,AR28,AO28)</f>
        <v>-8.9346768194511442E-2</v>
      </c>
      <c r="AT28" s="36">
        <f t="shared" ref="AT28" si="269">AVERAGE(AO28,AR28,AS28,AQ28)</f>
        <v>-8.9346846242362249E-2</v>
      </c>
      <c r="AU28" s="29">
        <f t="shared" ref="AU28" si="270">IFERROR(AU27/(AP82+AP91),"na")</f>
        <v>-8.9346842481807465E-2</v>
      </c>
    </row>
    <row r="29" spans="1:47" s="8" customFormat="1" x14ac:dyDescent="0.25">
      <c r="A29" s="8" t="s">
        <v>60</v>
      </c>
      <c r="B29" s="8" t="s">
        <v>146</v>
      </c>
      <c r="C29" s="20">
        <f>C24+C27</f>
        <v>3115.4999999999995</v>
      </c>
      <c r="D29" s="20">
        <f t="shared" ref="D29:T29" si="271">D24+D27</f>
        <v>2685</v>
      </c>
      <c r="E29" s="20">
        <f t="shared" si="271"/>
        <v>2622.5000000000005</v>
      </c>
      <c r="F29" s="20">
        <f t="shared" si="271"/>
        <v>2032.7999999999997</v>
      </c>
      <c r="G29" s="20">
        <f t="shared" si="271"/>
        <v>10455.799999999999</v>
      </c>
      <c r="H29" s="20">
        <f t="shared" si="271"/>
        <v>3685.8000000000006</v>
      </c>
      <c r="I29" s="20">
        <f t="shared" si="271"/>
        <v>2922.5</v>
      </c>
      <c r="J29" s="20">
        <f t="shared" si="271"/>
        <v>2613.6999999999985</v>
      </c>
      <c r="K29" s="20">
        <f t="shared" si="271"/>
        <v>2282.6000000000022</v>
      </c>
      <c r="L29" s="20">
        <f t="shared" si="271"/>
        <v>11504.599999999991</v>
      </c>
      <c r="M29" s="20">
        <f t="shared" si="271"/>
        <v>2897.2000000000016</v>
      </c>
      <c r="N29" s="20">
        <f t="shared" si="271"/>
        <v>3464.5000000000005</v>
      </c>
      <c r="O29" s="20">
        <f t="shared" si="271"/>
        <v>3410.0999999999981</v>
      </c>
      <c r="P29" s="20">
        <f t="shared" si="271"/>
        <v>2441.6000000000008</v>
      </c>
      <c r="Q29" s="20">
        <f>Q24+Q27</f>
        <v>12213.400000000003</v>
      </c>
      <c r="R29" s="20">
        <f>R24+R27</f>
        <v>3515.5000000000014</v>
      </c>
      <c r="S29" s="20">
        <f t="shared" si="271"/>
        <v>3332.6000000000026</v>
      </c>
      <c r="T29" s="20">
        <f t="shared" si="271"/>
        <v>3046.5999999999985</v>
      </c>
      <c r="U29" s="20">
        <f>U24+U27</f>
        <v>3167.390889256063</v>
      </c>
      <c r="V29" s="20">
        <f>V24+V27</f>
        <v>13062.090889256064</v>
      </c>
      <c r="W29" s="20">
        <f t="shared" ref="W29:AU29" si="272">W24+W27</f>
        <v>3658.188514637905</v>
      </c>
      <c r="X29" s="20">
        <f t="shared" si="272"/>
        <v>3431.0061209216387</v>
      </c>
      <c r="Y29" s="20">
        <f t="shared" si="272"/>
        <v>3595.642771054243</v>
      </c>
      <c r="Z29" s="20">
        <f t="shared" si="272"/>
        <v>3454.4657265868755</v>
      </c>
      <c r="AA29" s="20">
        <f t="shared" si="272"/>
        <v>14139.303133200661</v>
      </c>
      <c r="AB29" s="20">
        <f t="shared" si="272"/>
        <v>3936.0211589108549</v>
      </c>
      <c r="AC29" s="20">
        <f t="shared" si="272"/>
        <v>3752.8289053001304</v>
      </c>
      <c r="AD29" s="20">
        <f t="shared" si="272"/>
        <v>3962.7782372216866</v>
      </c>
      <c r="AE29" s="20">
        <f t="shared" si="272"/>
        <v>3795.5944495710555</v>
      </c>
      <c r="AF29" s="20">
        <f t="shared" si="272"/>
        <v>15447.22275100373</v>
      </c>
      <c r="AG29" s="20">
        <f t="shared" si="272"/>
        <v>4211.6138036074981</v>
      </c>
      <c r="AH29" s="20">
        <f t="shared" si="272"/>
        <v>4020.2355510499192</v>
      </c>
      <c r="AI29" s="20">
        <f t="shared" si="272"/>
        <v>4246.657797021986</v>
      </c>
      <c r="AJ29" s="20">
        <f t="shared" si="272"/>
        <v>4068.0326777248492</v>
      </c>
      <c r="AK29" s="20">
        <f t="shared" si="272"/>
        <v>16546.53982940425</v>
      </c>
      <c r="AL29" s="20">
        <f t="shared" si="272"/>
        <v>4514.592050587672</v>
      </c>
      <c r="AM29" s="20">
        <f t="shared" si="272"/>
        <v>4310.2248153373421</v>
      </c>
      <c r="AN29" s="20">
        <f t="shared" si="272"/>
        <v>4552.5094566133503</v>
      </c>
      <c r="AO29" s="20">
        <f t="shared" si="272"/>
        <v>4362.6381377280213</v>
      </c>
      <c r="AP29" s="20">
        <f t="shared" si="272"/>
        <v>17739.964460266387</v>
      </c>
      <c r="AQ29" s="20">
        <f t="shared" si="272"/>
        <v>4839.9878889037855</v>
      </c>
      <c r="AR29" s="20">
        <f t="shared" si="272"/>
        <v>4621.3903975319972</v>
      </c>
      <c r="AS29" s="20">
        <f t="shared" si="272"/>
        <v>4880.5788990914798</v>
      </c>
      <c r="AT29" s="20">
        <f t="shared" si="272"/>
        <v>4678.7801254353299</v>
      </c>
      <c r="AU29" s="20">
        <f t="shared" si="272"/>
        <v>19020.737310962595</v>
      </c>
    </row>
    <row r="30" spans="1:47" s="21" customFormat="1" x14ac:dyDescent="0.25">
      <c r="A30" s="34" t="s">
        <v>151</v>
      </c>
      <c r="B30" s="35" t="s">
        <v>145</v>
      </c>
      <c r="C30" s="29">
        <f>IFERROR(C29/C9,"na")</f>
        <v>0.21201665918092358</v>
      </c>
      <c r="D30" s="29">
        <f t="shared" ref="D30:AU30" si="273">IFERROR(D29/D9,"na")</f>
        <v>0.20339984546156992</v>
      </c>
      <c r="E30" s="29">
        <f t="shared" si="273"/>
        <v>0.19584341488185922</v>
      </c>
      <c r="F30" s="29">
        <f t="shared" si="273"/>
        <v>0.16382318571946647</v>
      </c>
      <c r="G30" s="29">
        <f t="shared" si="273"/>
        <v>0.19472757917477579</v>
      </c>
      <c r="H30" s="29">
        <f t="shared" si="273"/>
        <v>0.23485857382261674</v>
      </c>
      <c r="I30" s="29">
        <f t="shared" si="273"/>
        <v>0.20614666215224872</v>
      </c>
      <c r="J30" s="29">
        <f t="shared" si="273"/>
        <v>0.19587814291602645</v>
      </c>
      <c r="K30" s="29">
        <f t="shared" si="273"/>
        <v>0.17620948131450775</v>
      </c>
      <c r="L30" s="29">
        <f t="shared" si="273"/>
        <v>0.20482517594569127</v>
      </c>
      <c r="M30" s="29">
        <f t="shared" si="273"/>
        <v>0.18949323705622279</v>
      </c>
      <c r="N30" s="29">
        <f t="shared" si="273"/>
        <v>0.22645714995391766</v>
      </c>
      <c r="O30" s="29">
        <f t="shared" si="273"/>
        <v>0.2210188605872058</v>
      </c>
      <c r="P30" s="29">
        <f t="shared" si="273"/>
        <v>0.16438319273417676</v>
      </c>
      <c r="Q30" s="29">
        <f t="shared" si="273"/>
        <v>0.20064728109084939</v>
      </c>
      <c r="R30" s="29">
        <f t="shared" si="273"/>
        <v>0.19167752593957707</v>
      </c>
      <c r="S30" s="29">
        <f t="shared" si="273"/>
        <v>0.18962809541150777</v>
      </c>
      <c r="T30" s="29">
        <f>IFERROR(T29/T9,"na")</f>
        <v>0.16483254882865328</v>
      </c>
      <c r="U30" s="29">
        <f>IFERROR(U29/U9,"na")</f>
        <v>0.17854074719228466</v>
      </c>
      <c r="V30" s="29">
        <f>IFERROR(V29/V9,"na")</f>
        <v>0.181069528445401</v>
      </c>
      <c r="W30" s="29">
        <f t="shared" si="273"/>
        <v>0.18653082365113416</v>
      </c>
      <c r="X30" s="29">
        <f t="shared" si="273"/>
        <v>0.18257504616664083</v>
      </c>
      <c r="Y30" s="29">
        <f t="shared" si="273"/>
        <v>0.18193007874404624</v>
      </c>
      <c r="Z30" s="29">
        <f t="shared" si="273"/>
        <v>0.18200460067829899</v>
      </c>
      <c r="AA30" s="29">
        <f t="shared" si="273"/>
        <v>0.18327506954600609</v>
      </c>
      <c r="AB30" s="29">
        <f t="shared" si="273"/>
        <v>0.1835577683955848</v>
      </c>
      <c r="AC30" s="29">
        <f t="shared" si="273"/>
        <v>0.18264572432284507</v>
      </c>
      <c r="AD30" s="29">
        <f t="shared" si="273"/>
        <v>0.1833827823048339</v>
      </c>
      <c r="AE30" s="29">
        <f t="shared" si="273"/>
        <v>0.18278017470369029</v>
      </c>
      <c r="AF30" s="29">
        <f t="shared" si="273"/>
        <v>0.18309942112091709</v>
      </c>
      <c r="AG30" s="29">
        <f t="shared" si="273"/>
        <v>0.18366660794889655</v>
      </c>
      <c r="AH30" s="29">
        <f t="shared" si="273"/>
        <v>0.18296522954484815</v>
      </c>
      <c r="AI30" s="29">
        <f t="shared" si="273"/>
        <v>0.18376905188937823</v>
      </c>
      <c r="AJ30" s="29">
        <f t="shared" si="273"/>
        <v>0.1831408085337492</v>
      </c>
      <c r="AK30" s="29">
        <f t="shared" si="273"/>
        <v>0.18339258998087518</v>
      </c>
      <c r="AL30" s="29">
        <f t="shared" si="273"/>
        <v>0.18407384066761565</v>
      </c>
      <c r="AM30" s="29">
        <f t="shared" si="273"/>
        <v>0.18340403431830929</v>
      </c>
      <c r="AN30" s="29">
        <f t="shared" si="273"/>
        <v>0.18419076921589289</v>
      </c>
      <c r="AO30" s="29">
        <f t="shared" si="273"/>
        <v>0.18358103453935237</v>
      </c>
      <c r="AP30" s="29">
        <f t="shared" si="273"/>
        <v>0.18381932866580311</v>
      </c>
      <c r="AQ30" s="29">
        <f t="shared" si="273"/>
        <v>0.18447432277627659</v>
      </c>
      <c r="AR30" s="29">
        <f t="shared" si="273"/>
        <v>0.18382293994484644</v>
      </c>
      <c r="AS30" s="29">
        <f t="shared" si="273"/>
        <v>0.18458926109295856</v>
      </c>
      <c r="AT30" s="29">
        <f t="shared" si="273"/>
        <v>0.18399937505097039</v>
      </c>
      <c r="AU30" s="29">
        <f t="shared" si="273"/>
        <v>0.18422817030874661</v>
      </c>
    </row>
    <row r="31" spans="1:47" x14ac:dyDescent="0.25">
      <c r="A31" s="9" t="s">
        <v>62</v>
      </c>
      <c r="B31" s="9" t="s">
        <v>146</v>
      </c>
      <c r="C31" s="12">
        <v>-39</v>
      </c>
      <c r="D31" s="12">
        <v>-30.7</v>
      </c>
      <c r="E31" s="12">
        <v>-31.3</v>
      </c>
      <c r="F31" s="12">
        <v>-31.7</v>
      </c>
      <c r="G31" s="10">
        <f t="shared" ref="G31:G33" si="274">C31+D31+E31+F31</f>
        <v>-132.69999999999999</v>
      </c>
      <c r="H31" s="12">
        <v>-35.299999999999997</v>
      </c>
      <c r="I31" s="12">
        <v>-26.2</v>
      </c>
      <c r="J31" s="12">
        <v>-29.7</v>
      </c>
      <c r="K31" s="12">
        <v>-48.1</v>
      </c>
      <c r="L31" s="10">
        <f t="shared" ref="L31:L33" si="275">H31+I31+J31+K31</f>
        <v>-139.30000000000001</v>
      </c>
      <c r="M31" s="12">
        <v>-37.299999999999997</v>
      </c>
      <c r="N31" s="12">
        <v>-38.700000000000003</v>
      </c>
      <c r="O31" s="12">
        <v>-41.1</v>
      </c>
      <c r="P31" s="12">
        <v>-38.299999999999997</v>
      </c>
      <c r="Q31" s="10">
        <f t="shared" si="110"/>
        <v>-155.39999999999998</v>
      </c>
      <c r="R31" s="12">
        <v>-72.7</v>
      </c>
      <c r="S31" s="12">
        <v>-60.2</v>
      </c>
      <c r="T31" s="12">
        <v>-62.1</v>
      </c>
      <c r="U31" s="10">
        <f>IFERROR((S100+S113)*U32*0.25,"na")</f>
        <v>-55.486478171065933</v>
      </c>
      <c r="V31" s="10">
        <f t="shared" ref="V31" si="276">R31+S31+T31+U31</f>
        <v>-250.48647817106593</v>
      </c>
      <c r="W31" s="10">
        <f>IFERROR((V100+V113)*W32*0.25,"na")</f>
        <v>-67.04863839044252</v>
      </c>
      <c r="X31" s="10">
        <f>IFERROR((V100+V113)*X32*0.25,"na")</f>
        <v>-65.635797988053156</v>
      </c>
      <c r="Y31" s="10">
        <f>IFERROR((V100+V113)*Y32*0.25,"na")</f>
        <v>-66.994747485066441</v>
      </c>
      <c r="Z31" s="10">
        <f>IFERROR((V100+V113)*Z32*0.25,"na")</f>
        <v>-65.880428535283386</v>
      </c>
      <c r="AA31" s="10">
        <f t="shared" ref="AA31" si="277">W31+X31+Y31+Z31</f>
        <v>-265.5596123988455</v>
      </c>
      <c r="AB31" s="10">
        <f t="shared" ref="AB31" si="278">IFERROR((AA100+AA113)*AB32*0.25,"na")</f>
        <v>-66.389903099711375</v>
      </c>
      <c r="AC31" s="10">
        <f t="shared" ref="AC31" si="279">IFERROR((AA100+AA113)*AC32*0.25,"na")</f>
        <v>-66.2252192770286</v>
      </c>
      <c r="AD31" s="10">
        <f t="shared" ref="AD31" si="280">IFERROR((AA100+AA113)*AD32*0.25,"na")</f>
        <v>-66.372574599272454</v>
      </c>
      <c r="AE31" s="10">
        <f t="shared" ref="AE31" si="281">IFERROR((AA100+AA113)*AE32*0.25,"na")</f>
        <v>-66.217031377823957</v>
      </c>
      <c r="AF31" s="10">
        <f t="shared" ref="AF31" si="282">AB31+AC31+AD31+AE31</f>
        <v>-265.2047283538364</v>
      </c>
      <c r="AG31" s="10">
        <f t="shared" ref="AG31" si="283">IFERROR((AF100+AF113)*AG32*0.25,"na")</f>
        <v>-66.301182088459086</v>
      </c>
      <c r="AH31" s="10">
        <f t="shared" ref="AH31" si="284">IFERROR((AF100+AF113)*AH32*0.25,"na")</f>
        <v>-66.279001835646014</v>
      </c>
      <c r="AI31" s="10">
        <f t="shared" ref="AI31" si="285">IFERROR((AF100+AF113)*AI32*0.25,"na")</f>
        <v>-66.292447475300378</v>
      </c>
      <c r="AJ31" s="10">
        <f t="shared" ref="AJ31" si="286">IFERROR((AF100+AF113)*AJ32*0.25,"na")</f>
        <v>-66.272415694307355</v>
      </c>
      <c r="AK31" s="10">
        <f t="shared" ref="AK31" si="287">AG31+AH31+AI31+AJ31</f>
        <v>-265.14504709371283</v>
      </c>
      <c r="AL31" s="10">
        <f t="shared" ref="AL31" si="288">IFERROR((AK100+AK113)*AL32*0.25,"na")</f>
        <v>-66.286261773428208</v>
      </c>
      <c r="AM31" s="10">
        <f t="shared" ref="AM31" si="289">IFERROR((AK100+AK113)*AM32*0.25,"na")</f>
        <v>-66.282531694670482</v>
      </c>
      <c r="AN31" s="10">
        <f t="shared" ref="AN31" si="290">IFERROR((AK100+AK113)*AN32*0.25,"na")</f>
        <v>-66.283414159426613</v>
      </c>
      <c r="AO31" s="10">
        <f t="shared" ref="AO31" si="291">IFERROR((AK100+AK113)*AO32*0.25,"na")</f>
        <v>-66.281155830458161</v>
      </c>
      <c r="AP31" s="10">
        <f t="shared" ref="AP31" si="292">AL31+AM31+AN31+AO31</f>
        <v>-265.13336345798348</v>
      </c>
      <c r="AQ31" s="10">
        <f t="shared" ref="AQ31" si="293">IFERROR((AP100+AP113)*AQ32*0.25,"na")</f>
        <v>-66.283340864495869</v>
      </c>
      <c r="AR31" s="10">
        <f t="shared" ref="AR31" si="294">IFERROR((AP100+AP113)*AR32*0.25,"na")</f>
        <v>-66.282610637262778</v>
      </c>
      <c r="AS31" s="10">
        <f t="shared" ref="AS31" si="295">IFERROR((AP100+AP113)*AS32*0.25,"na")</f>
        <v>-66.282630372910859</v>
      </c>
      <c r="AT31" s="10">
        <f t="shared" ref="AT31" si="296">IFERROR((AP100+AP113)*AT32*0.25,"na")</f>
        <v>-66.282434426281924</v>
      </c>
      <c r="AU31" s="10">
        <f t="shared" ref="AU31" si="297">AQ31+AR31+AS31+AT31</f>
        <v>-265.13101630095144</v>
      </c>
    </row>
    <row r="32" spans="1:47" s="21" customFormat="1" x14ac:dyDescent="0.25">
      <c r="A32" s="34" t="s">
        <v>167</v>
      </c>
      <c r="B32" s="35" t="s">
        <v>145</v>
      </c>
      <c r="C32" s="41" t="s">
        <v>147</v>
      </c>
      <c r="D32" s="41" t="s">
        <v>147</v>
      </c>
      <c r="E32" s="29">
        <f>IFERROR(E31*4/(D100+D113),"na")</f>
        <v>-0.22281544758853891</v>
      </c>
      <c r="F32" s="29">
        <f>IFERROR(F31*4/(D100+D113),"na")</f>
        <v>-0.22566292934685889</v>
      </c>
      <c r="G32" s="41" t="s">
        <v>147</v>
      </c>
      <c r="H32" s="29">
        <f>IFERROR(H31*4/(F100+F113),"na")</f>
        <v>-0.16753678215472231</v>
      </c>
      <c r="I32" s="29">
        <f>IFERROR(I31*4/(F100+F113),"na")</f>
        <v>-0.12434741338395822</v>
      </c>
      <c r="J32" s="29">
        <f>IFERROR(J31*4/(I100+I113),"na")</f>
        <v>-0.11870503597122302</v>
      </c>
      <c r="K32" s="29">
        <f>IFERROR(K31*4/(I100+I113),"na")</f>
        <v>-0.19224620303756995</v>
      </c>
      <c r="L32" s="29">
        <f>IFERROR(L31/(G100+G113),"na")</f>
        <v>-0.16528239202657807</v>
      </c>
      <c r="M32" s="29">
        <f>IFERROR(M31*4/(K100+K113),"na")</f>
        <v>-0.15300994769767201</v>
      </c>
      <c r="N32" s="29">
        <f>IFERROR(N31*4/(K100+K113),"na")</f>
        <v>-0.15875294841554713</v>
      </c>
      <c r="O32" s="29">
        <f>IFERROR(O31*4/(N100+N113),"na")</f>
        <v>-0.17869565217391306</v>
      </c>
      <c r="P32" s="29">
        <f>IFERROR(P31*4/(N100+N113),"na")</f>
        <v>-0.16652173913043478</v>
      </c>
      <c r="Q32" s="29">
        <f>IFERROR(Q31/(L100+L113),"na")</f>
        <v>-0.1593682699210337</v>
      </c>
      <c r="R32" s="29">
        <f>IFERROR(R31*4/(P100+P113),"na")</f>
        <v>-0.23729090167278663</v>
      </c>
      <c r="S32" s="29">
        <f>IFERROR(S31*4/(P100+P113),"na")</f>
        <v>-0.19649122807017544</v>
      </c>
      <c r="T32" s="29">
        <f>IFERROR(T31*4/(S100+S113),"na")</f>
        <v>-0.2332175382593184</v>
      </c>
      <c r="U32" s="36">
        <f>AVERAGE(P32,R32,S32,T32)</f>
        <v>-0.20838035178317882</v>
      </c>
      <c r="V32" s="29">
        <f>IFERROR(V31/(Q100+Q113),"na")</f>
        <v>-0.20439533102494159</v>
      </c>
      <c r="W32" s="36">
        <f>AVERAGE(R32,T32,U32,S32)</f>
        <v>-0.21884500494636483</v>
      </c>
      <c r="X32" s="36">
        <f>AVERAGE(S32,U32,W32,T32)</f>
        <v>-0.21423353076475937</v>
      </c>
      <c r="Y32" s="36">
        <f>AVERAGE(T32,W32,X32,U32)</f>
        <v>-0.21866910643840537</v>
      </c>
      <c r="Z32" s="36">
        <f>AVERAGE(U32,X32,Y32,W32)</f>
        <v>-0.21503199848317711</v>
      </c>
      <c r="AA32" s="29">
        <f>IFERROR(AA31/(V100+V113),"na")</f>
        <v>-0.21669491015817666</v>
      </c>
      <c r="AB32" s="36">
        <f t="shared" ref="AB32" si="298">AVERAGE(W32,Y32,Z32,X32)</f>
        <v>-0.21669491015817666</v>
      </c>
      <c r="AC32" s="36">
        <f t="shared" ref="AC32" si="299">AVERAGE(X32,Z32,AB32,Y32)</f>
        <v>-0.21615738646112964</v>
      </c>
      <c r="AD32" s="36">
        <f t="shared" ref="AD32" si="300">AVERAGE(Y32,AB32,AC32,Z32)</f>
        <v>-0.21663835038522219</v>
      </c>
      <c r="AE32" s="36">
        <f t="shared" ref="AE32" si="301">AVERAGE(Z32,AC32,AD32,AB32)</f>
        <v>-0.21613066137192641</v>
      </c>
      <c r="AF32" s="29">
        <f t="shared" ref="AF32" si="302">IFERROR(AF31/(AA100+AA113),"na")</f>
        <v>-0.21640532709411375</v>
      </c>
      <c r="AG32" s="36">
        <f t="shared" ref="AG32" si="303">AVERAGE(AB32,AD32,AE32,AC32)</f>
        <v>-0.2164053270941137</v>
      </c>
      <c r="AH32" s="36">
        <f t="shared" ref="AH32" si="304">AVERAGE(AC32,AE32,AG32,AD32)</f>
        <v>-0.21633293132809797</v>
      </c>
      <c r="AI32" s="36">
        <f t="shared" ref="AI32" si="305">AVERAGE(AD32,AG32,AH32,AE32)</f>
        <v>-0.21637681754484006</v>
      </c>
      <c r="AJ32" s="36">
        <f t="shared" ref="AJ32" si="306">AVERAGE(AE32,AH32,AI32,AG32)</f>
        <v>-0.21631143433474453</v>
      </c>
      <c r="AK32" s="29">
        <f t="shared" ref="AK32" si="307">IFERROR(AK31/(AF100+AF113),"na")</f>
        <v>-0.21635662757544907</v>
      </c>
      <c r="AL32" s="36">
        <f t="shared" ref="AL32" si="308">AVERAGE(AG32,AI32,AJ32,AH32)</f>
        <v>-0.21635662757544905</v>
      </c>
      <c r="AM32" s="36">
        <f t="shared" ref="AM32" si="309">AVERAGE(AH32,AJ32,AL32,AI32)</f>
        <v>-0.2163444526957829</v>
      </c>
      <c r="AN32" s="36">
        <f t="shared" ref="AN32" si="310">AVERAGE(AI32,AL32,AM32,AJ32)</f>
        <v>-0.21634733303770415</v>
      </c>
      <c r="AO32" s="36">
        <f t="shared" ref="AO32" si="311">AVERAGE(AJ32,AM32,AN32,AL32)</f>
        <v>-0.21633996191092017</v>
      </c>
      <c r="AP32" s="29">
        <f t="shared" ref="AP32" si="312">IFERROR(AP31/(AK100+AK113),"na")</f>
        <v>-0.21634709380496409</v>
      </c>
      <c r="AQ32" s="36">
        <f t="shared" ref="AQ32" si="313">AVERAGE(AL32,AN32,AO32,AM32)</f>
        <v>-0.21634709380496409</v>
      </c>
      <c r="AR32" s="36">
        <f t="shared" ref="AR32" si="314">AVERAGE(AM32,AO32,AQ32,AN32)</f>
        <v>-0.21634471036234282</v>
      </c>
      <c r="AS32" s="36">
        <f t="shared" ref="AS32" si="315">AVERAGE(AN32,AQ32,AR32,AO32)</f>
        <v>-0.21634477477898281</v>
      </c>
      <c r="AT32" s="36">
        <f t="shared" ref="AT32" si="316">AVERAGE(AO32,AR32,AS32,AQ32)</f>
        <v>-0.21634413521430249</v>
      </c>
      <c r="AU32" s="29">
        <f t="shared" ref="AU32" si="317">IFERROR(AU31/(AP100+AP113),"na")</f>
        <v>-0.21634517854014806</v>
      </c>
    </row>
    <row r="33" spans="1:47" x14ac:dyDescent="0.25">
      <c r="A33" s="9" t="s">
        <v>61</v>
      </c>
      <c r="B33" s="9" t="s">
        <v>146</v>
      </c>
      <c r="C33" s="12">
        <v>104.5</v>
      </c>
      <c r="D33" s="12">
        <v>122.5</v>
      </c>
      <c r="E33" s="12">
        <v>96.7</v>
      </c>
      <c r="F33" s="12">
        <v>186.2</v>
      </c>
      <c r="G33" s="10">
        <f t="shared" si="274"/>
        <v>509.9</v>
      </c>
      <c r="H33" s="12">
        <v>240.7</v>
      </c>
      <c r="I33" s="12">
        <v>323.89999999999998</v>
      </c>
      <c r="J33" s="12">
        <v>272.3</v>
      </c>
      <c r="K33" s="12">
        <v>285.60000000000002</v>
      </c>
      <c r="L33" s="10">
        <f t="shared" si="275"/>
        <v>1122.5</v>
      </c>
      <c r="M33" s="12">
        <v>432.2</v>
      </c>
      <c r="N33" s="12">
        <v>336.7</v>
      </c>
      <c r="O33" s="12">
        <v>194.5</v>
      </c>
      <c r="P33" s="12">
        <v>520.70000000000005</v>
      </c>
      <c r="Q33" s="10">
        <f t="shared" si="110"/>
        <v>1484.1</v>
      </c>
      <c r="R33" s="12">
        <v>321.3</v>
      </c>
      <c r="S33" s="12">
        <v>276.3</v>
      </c>
      <c r="T33" s="12">
        <v>306.7</v>
      </c>
      <c r="U33" s="10">
        <f>IFERROR((S68+S86)*U34*0.25,"na")</f>
        <v>352.96721250608346</v>
      </c>
      <c r="V33" s="10">
        <f t="shared" ref="V33" si="318">R33+S33+T33+U33</f>
        <v>1257.2672125060835</v>
      </c>
      <c r="W33" s="10">
        <f>IFERROR((V68+V86)*W34*0.25,"na")</f>
        <v>301.26307936512757</v>
      </c>
      <c r="X33" s="10">
        <f>IFERROR((V68+V86)*X34*0.25,"na")</f>
        <v>296.25384920640943</v>
      </c>
      <c r="Y33" s="10">
        <f>IFERROR((V68+V86)*Y34*0.25,"na")</f>
        <v>301.24231150801177</v>
      </c>
      <c r="Z33" s="10">
        <f>IFERROR((V68+V86)*Z34*0.25,"na")</f>
        <v>305.94697543585801</v>
      </c>
      <c r="AA33" s="10">
        <f t="shared" ref="AA33" si="319">W33+X33+Y33+Z33</f>
        <v>1204.7062155154067</v>
      </c>
      <c r="AB33" s="10">
        <f t="shared" ref="AB33" si="320">IFERROR((AA68+AA86)*AB34*0.25,"na")</f>
        <v>301.17655387885168</v>
      </c>
      <c r="AC33" s="10">
        <f t="shared" ref="AC33" si="321">IFERROR((AA68+AA86)*AC34*0.25,"na")</f>
        <v>301.15492250728266</v>
      </c>
      <c r="AD33" s="10">
        <f t="shared" ref="AD33" si="322">IFERROR((AA68+AA86)*AD34*0.25,"na")</f>
        <v>302.380190832501</v>
      </c>
      <c r="AE33" s="10">
        <f t="shared" ref="AE33" si="323">IFERROR((AA68+AA86)*AE34*0.25,"na")</f>
        <v>302.66466066362335</v>
      </c>
      <c r="AF33" s="10">
        <f t="shared" ref="AF33" si="324">AB33+AC33+AD33+AE33</f>
        <v>1207.3763278822587</v>
      </c>
      <c r="AG33" s="10">
        <f t="shared" ref="AG33" si="325">IFERROR((AF68+AF86)*AG34*0.25,"na")</f>
        <v>301.84408197056467</v>
      </c>
      <c r="AH33" s="10">
        <f t="shared" ref="AH33" si="326">IFERROR((AF68+AF86)*AH34*0.25,"na")</f>
        <v>302.01096399349296</v>
      </c>
      <c r="AI33" s="10">
        <f t="shared" ref="AI33" si="327">IFERROR((AF68+AF86)*AI34*0.25,"na")</f>
        <v>302.22497436504551</v>
      </c>
      <c r="AJ33" s="10">
        <f t="shared" ref="AJ33" si="328">IFERROR((AF68+AF86)*AJ34*0.25,"na")</f>
        <v>302.18617024818161</v>
      </c>
      <c r="AK33" s="10">
        <f t="shared" ref="AK33" si="329">AG33+AH33+AI33+AJ33</f>
        <v>1208.2661905772848</v>
      </c>
      <c r="AL33" s="10">
        <f t="shared" ref="AL33" si="330">IFERROR((AK68+AK86)*AL34*0.25,"na")</f>
        <v>302.06654764432119</v>
      </c>
      <c r="AM33" s="10">
        <f t="shared" ref="AM33" si="331">IFERROR((AK68+AK86)*AM34*0.25,"na")</f>
        <v>302.12216406276031</v>
      </c>
      <c r="AN33" s="10">
        <f t="shared" ref="AN33" si="332">IFERROR((AK68+AK86)*AN34*0.25,"na")</f>
        <v>302.14996408007715</v>
      </c>
      <c r="AO33" s="10">
        <f t="shared" ref="AO33" si="333">IFERROR((AK68+AK86)*AO34*0.25,"na")</f>
        <v>302.13121150883507</v>
      </c>
      <c r="AP33" s="10">
        <f t="shared" ref="AP33" si="334">AL33+AM33+AN33+AO33</f>
        <v>1208.4698872959937</v>
      </c>
      <c r="AQ33" s="10">
        <f t="shared" ref="AQ33" si="335">IFERROR((AP68+AP86)*AQ34*0.25,"na")</f>
        <v>302.11747182399841</v>
      </c>
      <c r="AR33" s="10">
        <f t="shared" ref="AR33" si="336">IFERROR((AP68+AP86)*AR34*0.25,"na")</f>
        <v>302.13020286891776</v>
      </c>
      <c r="AS33" s="10">
        <f t="shared" ref="AS33" si="337">IFERROR((AP68+AP86)*AS34*0.25,"na")</f>
        <v>302.13221257045706</v>
      </c>
      <c r="AT33" s="10">
        <f t="shared" ref="AT33" si="338">IFERROR((AP68+AP86)*AT34*0.25,"na")</f>
        <v>302.12777469305212</v>
      </c>
      <c r="AU33" s="10">
        <f t="shared" ref="AU33" si="339">AQ33+AR33+AS33+AT33</f>
        <v>1208.5076619564254</v>
      </c>
    </row>
    <row r="34" spans="1:47" s="21" customFormat="1" x14ac:dyDescent="0.25">
      <c r="A34" s="34" t="s">
        <v>168</v>
      </c>
      <c r="B34" s="35" t="s">
        <v>145</v>
      </c>
      <c r="C34" s="41" t="s">
        <v>147</v>
      </c>
      <c r="D34" s="41" t="s">
        <v>147</v>
      </c>
      <c r="E34" s="29">
        <f>IFERROR(E33*4/(D68+D86),"na")</f>
        <v>6.1758554070667881E-2</v>
      </c>
      <c r="F34" s="29">
        <f>IFERROR(F33*4/(D68+D86),"na")</f>
        <v>0.11891874630773897</v>
      </c>
      <c r="G34" s="41" t="s">
        <v>147</v>
      </c>
      <c r="H34" s="29">
        <f>IFERROR(H33*4/(F68+F86),"na")</f>
        <v>0.12892513290215454</v>
      </c>
      <c r="I34" s="29">
        <f>IFERROR(I33*4/(F68+F86),"na")</f>
        <v>0.17348920044456942</v>
      </c>
      <c r="J34" s="29">
        <f>IFERROR(J33*4/(I68+I86),"na")</f>
        <v>9.436594093031718E-2</v>
      </c>
      <c r="K34" s="29">
        <f>IFERROR(K33*4/(I68+I86),"na")</f>
        <v>9.8975074291952209E-2</v>
      </c>
      <c r="L34" s="29">
        <f>IFERROR(L33/(G68+G86),"na")</f>
        <v>0.15030999343858381</v>
      </c>
      <c r="M34" s="29">
        <f>IFERROR(M33*4/(K68+K86),"na")</f>
        <v>0.11635247639366549</v>
      </c>
      <c r="N34" s="29">
        <f>IFERROR(N33*4/(K68+K86),"na")</f>
        <v>9.064294030945666E-2</v>
      </c>
      <c r="O34" s="29">
        <f>IFERROR(O33*4/(N68+N86),"na")</f>
        <v>4.9593941634687715E-2</v>
      </c>
      <c r="P34" s="29">
        <f>IFERROR(P33*4/(N68+N86),"na")</f>
        <v>0.13276897382612798</v>
      </c>
      <c r="Q34" s="29">
        <f>IFERROR(Q33/(L68+L86),"na")</f>
        <v>9.9883566760665746E-2</v>
      </c>
      <c r="R34" s="29">
        <f>IFERROR(R33*4/(P68+P86),"na")</f>
        <v>0.10154626549623508</v>
      </c>
      <c r="S34" s="29">
        <f>IFERROR(S33*4/(P68+P86),"na")</f>
        <v>8.7324099460347804E-2</v>
      </c>
      <c r="T34" s="29">
        <f>IFERROR(T33*4/(S68+S86),"na")</f>
        <v>8.9259469448931178E-2</v>
      </c>
      <c r="U34" s="36">
        <f>AVERAGE(P34,R34,S34,T34)</f>
        <v>0.10272470205791051</v>
      </c>
      <c r="V34" s="29">
        <f>IFERROR(V33/(Q68+Q86),"na")</f>
        <v>9.9339239154103753E-2</v>
      </c>
      <c r="W34" s="36">
        <f>AVERAGE(R34,T34,U34,S34)</f>
        <v>9.5213634115856149E-2</v>
      </c>
      <c r="X34" s="36">
        <f>AVERAGE(S34,U34,W34,T34)</f>
        <v>9.3630476270761404E-2</v>
      </c>
      <c r="Y34" s="36">
        <f>AVERAGE(T34,W34,X34,U34)</f>
        <v>9.520707047336481E-2</v>
      </c>
      <c r="Z34" s="36">
        <f>AVERAGE(U34,X34,Y34,W34)</f>
        <v>9.6693970729473222E-2</v>
      </c>
      <c r="AA34" s="29">
        <f>IFERROR(AA33/(V68+V86),"na")</f>
        <v>9.5186287897363886E-2</v>
      </c>
      <c r="AB34" s="36">
        <f t="shared" ref="AB34" si="340">AVERAGE(W34,Y34,Z34,X34)</f>
        <v>9.5186287897363886E-2</v>
      </c>
      <c r="AC34" s="36">
        <f t="shared" ref="AC34" si="341">AVERAGE(X34,Z34,AB34,Y34)</f>
        <v>9.517945134274082E-2</v>
      </c>
      <c r="AD34" s="36">
        <f t="shared" ref="AD34" si="342">AVERAGE(Y34,AB34,AC34,Z34)</f>
        <v>9.5566695110735678E-2</v>
      </c>
      <c r="AE34" s="36">
        <f t="shared" ref="AE34" si="343">AVERAGE(Z34,AC34,AD34,AB34)</f>
        <v>9.5656601270078398E-2</v>
      </c>
      <c r="AF34" s="29">
        <f t="shared" ref="AF34" si="344">IFERROR(AF33/(AA68+AA86),"na")</f>
        <v>9.5397258905229695E-2</v>
      </c>
      <c r="AG34" s="36">
        <f t="shared" ref="AG34" si="345">AVERAGE(AB34,AD34,AE34,AC34)</f>
        <v>9.5397258905229695E-2</v>
      </c>
      <c r="AH34" s="36">
        <f t="shared" ref="AH34" si="346">AVERAGE(AC34,AE34,AG34,AD34)</f>
        <v>9.5450001657196151E-2</v>
      </c>
      <c r="AI34" s="36">
        <f t="shared" ref="AI34" si="347">AVERAGE(AD34,AG34,AH34,AE34)</f>
        <v>9.5517639235809984E-2</v>
      </c>
      <c r="AJ34" s="36">
        <f t="shared" ref="AJ34" si="348">AVERAGE(AE34,AH34,AI34,AG34)</f>
        <v>9.5505375267078557E-2</v>
      </c>
      <c r="AK34" s="29">
        <f t="shared" ref="AK34" si="349">IFERROR(AK33/(AF68+AF86),"na")</f>
        <v>9.54675687663286E-2</v>
      </c>
      <c r="AL34" s="36">
        <f t="shared" ref="AL34" si="350">AVERAGE(AG34,AI34,AJ34,AH34)</f>
        <v>9.54675687663286E-2</v>
      </c>
      <c r="AM34" s="36">
        <f t="shared" ref="AM34" si="351">AVERAGE(AH34,AJ34,AL34,AI34)</f>
        <v>9.5485146231603327E-2</v>
      </c>
      <c r="AN34" s="36">
        <f t="shared" ref="AN34" si="352">AVERAGE(AI34,AL34,AM34,AJ34)</f>
        <v>9.5493932375205121E-2</v>
      </c>
      <c r="AO34" s="36">
        <f t="shared" ref="AO34" si="353">AVERAGE(AJ34,AM34,AN34,AL34)</f>
        <v>9.5488005660053901E-2</v>
      </c>
      <c r="AP34" s="29">
        <f t="shared" ref="AP34" si="354">IFERROR(AP33/(AK68+AK86),"na")</f>
        <v>9.5483663258297727E-2</v>
      </c>
      <c r="AQ34" s="36">
        <f t="shared" ref="AQ34" si="355">AVERAGE(AL34,AN34,AO34,AM34)</f>
        <v>9.5483663258297727E-2</v>
      </c>
      <c r="AR34" s="36">
        <f t="shared" ref="AR34" si="356">AVERAGE(AM34,AO34,AQ34,AN34)</f>
        <v>9.5487686881290029E-2</v>
      </c>
      <c r="AS34" s="36">
        <f t="shared" ref="AS34" si="357">AVERAGE(AN34,AQ34,AR34,AO34)</f>
        <v>9.5488322043711688E-2</v>
      </c>
      <c r="AT34" s="36">
        <f t="shared" ref="AT34" si="358">AVERAGE(AO34,AR34,AS34,AQ34)</f>
        <v>9.5486919460838343E-2</v>
      </c>
      <c r="AU34" s="29">
        <f t="shared" ref="AU34" si="359">IFERROR(AU33/(AP68+AP86),"na")</f>
        <v>9.548664791103445E-2</v>
      </c>
    </row>
    <row r="35" spans="1:47" x14ac:dyDescent="0.25">
      <c r="A35" s="13" t="s">
        <v>71</v>
      </c>
      <c r="B35" s="9" t="s">
        <v>146</v>
      </c>
      <c r="C35" s="10">
        <f t="shared" ref="C35:T35" si="360">C36+C37</f>
        <v>3.6</v>
      </c>
      <c r="D35" s="10">
        <f t="shared" si="360"/>
        <v>4.5999999999999996</v>
      </c>
      <c r="E35" s="10">
        <f t="shared" si="360"/>
        <v>7.6</v>
      </c>
      <c r="F35" s="10">
        <f t="shared" si="360"/>
        <v>13.5</v>
      </c>
      <c r="G35" s="10">
        <f t="shared" si="360"/>
        <v>29.299999999999997</v>
      </c>
      <c r="H35" s="10">
        <f t="shared" si="360"/>
        <v>8.6</v>
      </c>
      <c r="I35" s="10">
        <f t="shared" si="360"/>
        <v>15.2</v>
      </c>
      <c r="J35" s="10">
        <f t="shared" si="360"/>
        <v>5.7</v>
      </c>
      <c r="K35" s="10">
        <f t="shared" si="360"/>
        <v>23.5</v>
      </c>
      <c r="L35" s="10">
        <f t="shared" si="360"/>
        <v>52.999999999999993</v>
      </c>
      <c r="M35" s="10">
        <f t="shared" si="360"/>
        <v>5.5</v>
      </c>
      <c r="N35" s="10">
        <f t="shared" si="360"/>
        <v>11.200000000000001</v>
      </c>
      <c r="O35" s="10">
        <f t="shared" si="360"/>
        <v>21</v>
      </c>
      <c r="P35" s="10">
        <f t="shared" si="360"/>
        <v>8.1999999999999993</v>
      </c>
      <c r="Q35" s="10">
        <f t="shared" si="360"/>
        <v>45.9</v>
      </c>
      <c r="R35" s="10">
        <f t="shared" si="360"/>
        <v>4.1999999999999993</v>
      </c>
      <c r="S35" s="10">
        <f t="shared" si="360"/>
        <v>-6.5</v>
      </c>
      <c r="T35" s="10">
        <f t="shared" si="360"/>
        <v>14.700000000000001</v>
      </c>
      <c r="U35" s="10">
        <f t="shared" ref="U35:AU35" si="361">U36+U37</f>
        <v>10</v>
      </c>
      <c r="V35" s="10">
        <f t="shared" si="361"/>
        <v>22.4</v>
      </c>
      <c r="W35" s="10">
        <f t="shared" si="361"/>
        <v>10</v>
      </c>
      <c r="X35" s="10">
        <f t="shared" si="361"/>
        <v>10</v>
      </c>
      <c r="Y35" s="10">
        <f t="shared" si="361"/>
        <v>10</v>
      </c>
      <c r="Z35" s="10">
        <f t="shared" si="361"/>
        <v>10</v>
      </c>
      <c r="AA35" s="10">
        <f t="shared" si="361"/>
        <v>40</v>
      </c>
      <c r="AB35" s="10">
        <f t="shared" si="361"/>
        <v>10</v>
      </c>
      <c r="AC35" s="10">
        <f t="shared" si="361"/>
        <v>10</v>
      </c>
      <c r="AD35" s="10">
        <f t="shared" si="361"/>
        <v>10</v>
      </c>
      <c r="AE35" s="10">
        <f t="shared" si="361"/>
        <v>10</v>
      </c>
      <c r="AF35" s="10">
        <f t="shared" si="361"/>
        <v>40</v>
      </c>
      <c r="AG35" s="10">
        <f t="shared" si="361"/>
        <v>10</v>
      </c>
      <c r="AH35" s="10">
        <f t="shared" si="361"/>
        <v>10</v>
      </c>
      <c r="AI35" s="10">
        <f t="shared" si="361"/>
        <v>10</v>
      </c>
      <c r="AJ35" s="10">
        <f t="shared" si="361"/>
        <v>10</v>
      </c>
      <c r="AK35" s="10">
        <f t="shared" si="361"/>
        <v>40</v>
      </c>
      <c r="AL35" s="10">
        <f t="shared" si="361"/>
        <v>10</v>
      </c>
      <c r="AM35" s="10">
        <f t="shared" si="361"/>
        <v>10</v>
      </c>
      <c r="AN35" s="10">
        <f t="shared" si="361"/>
        <v>10</v>
      </c>
      <c r="AO35" s="10">
        <f t="shared" si="361"/>
        <v>10</v>
      </c>
      <c r="AP35" s="10">
        <f t="shared" si="361"/>
        <v>40</v>
      </c>
      <c r="AQ35" s="10">
        <f t="shared" si="361"/>
        <v>10</v>
      </c>
      <c r="AR35" s="10">
        <f t="shared" si="361"/>
        <v>10</v>
      </c>
      <c r="AS35" s="10">
        <f t="shared" si="361"/>
        <v>10</v>
      </c>
      <c r="AT35" s="10">
        <f t="shared" si="361"/>
        <v>10</v>
      </c>
      <c r="AU35" s="10">
        <f t="shared" si="361"/>
        <v>40</v>
      </c>
    </row>
    <row r="36" spans="1:47" outlineLevel="1" x14ac:dyDescent="0.25">
      <c r="A36" s="11" t="s">
        <v>72</v>
      </c>
      <c r="B36" s="9" t="s">
        <v>146</v>
      </c>
      <c r="C36" s="12">
        <v>3.6</v>
      </c>
      <c r="D36" s="12">
        <v>4.5999999999999996</v>
      </c>
      <c r="E36" s="12">
        <v>7.6</v>
      </c>
      <c r="F36" s="12">
        <v>13.5</v>
      </c>
      <c r="G36" s="10">
        <f t="shared" ref="G36:G38" si="362">C36+D36+E36+F36</f>
        <v>29.299999999999997</v>
      </c>
      <c r="H36" s="12">
        <v>8.6</v>
      </c>
      <c r="I36" s="12">
        <v>15.2</v>
      </c>
      <c r="J36" s="12">
        <v>5.7</v>
      </c>
      <c r="K36" s="12">
        <v>14.1</v>
      </c>
      <c r="L36" s="10">
        <f t="shared" ref="L36:L38" si="363">H36+I36+J36+K36</f>
        <v>43.599999999999994</v>
      </c>
      <c r="M36" s="12">
        <v>4.3</v>
      </c>
      <c r="N36" s="12">
        <v>10.8</v>
      </c>
      <c r="O36" s="12">
        <v>18.5</v>
      </c>
      <c r="P36" s="12">
        <v>13.9</v>
      </c>
      <c r="Q36" s="10">
        <f t="shared" si="110"/>
        <v>47.5</v>
      </c>
      <c r="R36" s="12">
        <v>4.5999999999999996</v>
      </c>
      <c r="S36" s="12">
        <v>-1.1000000000000001</v>
      </c>
      <c r="T36" s="12">
        <v>17.8</v>
      </c>
      <c r="U36" s="39">
        <v>8</v>
      </c>
      <c r="V36" s="10">
        <f t="shared" ref="V36:V37" si="364">R36+S36+T36+U36</f>
        <v>29.3</v>
      </c>
      <c r="W36" s="39">
        <v>8</v>
      </c>
      <c r="X36" s="39">
        <f>W36</f>
        <v>8</v>
      </c>
      <c r="Y36" s="39">
        <f t="shared" ref="Y36:Z37" si="365">X36</f>
        <v>8</v>
      </c>
      <c r="Z36" s="39">
        <f t="shared" si="365"/>
        <v>8</v>
      </c>
      <c r="AA36" s="10">
        <f t="shared" ref="AA36:AA37" si="366">W36+X36+Y36+Z36</f>
        <v>32</v>
      </c>
      <c r="AB36" s="39">
        <f>Z36</f>
        <v>8</v>
      </c>
      <c r="AC36" s="39">
        <f>AB36</f>
        <v>8</v>
      </c>
      <c r="AD36" s="39">
        <f t="shared" ref="AD36:AE36" si="367">AC36</f>
        <v>8</v>
      </c>
      <c r="AE36" s="39">
        <f t="shared" si="367"/>
        <v>8</v>
      </c>
      <c r="AF36" s="10">
        <f t="shared" ref="AF36:AF37" si="368">AB36+AC36+AD36+AE36</f>
        <v>32</v>
      </c>
      <c r="AG36" s="39">
        <f t="shared" ref="AG36:AG37" si="369">AE36</f>
        <v>8</v>
      </c>
      <c r="AH36" s="39">
        <f t="shared" ref="AH36:AJ36" si="370">AG36</f>
        <v>8</v>
      </c>
      <c r="AI36" s="39">
        <f t="shared" si="370"/>
        <v>8</v>
      </c>
      <c r="AJ36" s="39">
        <f t="shared" si="370"/>
        <v>8</v>
      </c>
      <c r="AK36" s="10">
        <f t="shared" ref="AK36:AK37" si="371">AG36+AH36+AI36+AJ36</f>
        <v>32</v>
      </c>
      <c r="AL36" s="39">
        <f t="shared" ref="AL36:AL37" si="372">AJ36</f>
        <v>8</v>
      </c>
      <c r="AM36" s="39">
        <f t="shared" ref="AM36:AO36" si="373">AL36</f>
        <v>8</v>
      </c>
      <c r="AN36" s="39">
        <f t="shared" si="373"/>
        <v>8</v>
      </c>
      <c r="AO36" s="39">
        <f t="shared" si="373"/>
        <v>8</v>
      </c>
      <c r="AP36" s="10">
        <f t="shared" ref="AP36:AP37" si="374">AL36+AM36+AN36+AO36</f>
        <v>32</v>
      </c>
      <c r="AQ36" s="39">
        <f t="shared" ref="AQ36:AQ37" si="375">AO36</f>
        <v>8</v>
      </c>
      <c r="AR36" s="39">
        <f t="shared" ref="AR36:AT36" si="376">AQ36</f>
        <v>8</v>
      </c>
      <c r="AS36" s="39">
        <f t="shared" si="376"/>
        <v>8</v>
      </c>
      <c r="AT36" s="39">
        <f t="shared" si="376"/>
        <v>8</v>
      </c>
      <c r="AU36" s="10">
        <f t="shared" ref="AU36:AU37" si="377">AQ36+AR36+AS36+AT36</f>
        <v>32</v>
      </c>
    </row>
    <row r="37" spans="1:47" outlineLevel="1" x14ac:dyDescent="0.25">
      <c r="A37" s="11" t="s">
        <v>73</v>
      </c>
      <c r="B37" s="9" t="s">
        <v>146</v>
      </c>
      <c r="C37" s="12">
        <v>0</v>
      </c>
      <c r="D37" s="12">
        <v>0</v>
      </c>
      <c r="E37" s="12">
        <v>0</v>
      </c>
      <c r="F37" s="12">
        <v>0</v>
      </c>
      <c r="G37" s="10">
        <f t="shared" si="362"/>
        <v>0</v>
      </c>
      <c r="H37" s="12">
        <v>0</v>
      </c>
      <c r="I37" s="12">
        <v>0</v>
      </c>
      <c r="J37" s="12">
        <v>0</v>
      </c>
      <c r="K37" s="12">
        <v>9.4</v>
      </c>
      <c r="L37" s="10">
        <f t="shared" si="363"/>
        <v>9.4</v>
      </c>
      <c r="M37" s="12">
        <v>1.2</v>
      </c>
      <c r="N37" s="12">
        <v>0.4</v>
      </c>
      <c r="O37" s="12">
        <v>2.5</v>
      </c>
      <c r="P37" s="12">
        <v>-5.7</v>
      </c>
      <c r="Q37" s="10">
        <f t="shared" si="110"/>
        <v>-1.6000000000000005</v>
      </c>
      <c r="R37" s="12">
        <v>-0.4</v>
      </c>
      <c r="S37" s="12">
        <v>-5.4</v>
      </c>
      <c r="T37" s="12">
        <v>-3.1</v>
      </c>
      <c r="U37" s="39">
        <v>2</v>
      </c>
      <c r="V37" s="10">
        <f t="shared" si="364"/>
        <v>-6.9</v>
      </c>
      <c r="W37" s="39">
        <v>2</v>
      </c>
      <c r="X37" s="39">
        <f>W37</f>
        <v>2</v>
      </c>
      <c r="Y37" s="39">
        <f t="shared" si="365"/>
        <v>2</v>
      </c>
      <c r="Z37" s="39">
        <f t="shared" si="365"/>
        <v>2</v>
      </c>
      <c r="AA37" s="10">
        <f t="shared" si="366"/>
        <v>8</v>
      </c>
      <c r="AB37" s="39">
        <f>Z37</f>
        <v>2</v>
      </c>
      <c r="AC37" s="39">
        <f>AB37</f>
        <v>2</v>
      </c>
      <c r="AD37" s="39">
        <f t="shared" ref="AD37:AE37" si="378">AC37</f>
        <v>2</v>
      </c>
      <c r="AE37" s="39">
        <f t="shared" si="378"/>
        <v>2</v>
      </c>
      <c r="AF37" s="10">
        <f t="shared" si="368"/>
        <v>8</v>
      </c>
      <c r="AG37" s="39">
        <f t="shared" si="369"/>
        <v>2</v>
      </c>
      <c r="AH37" s="39">
        <f t="shared" ref="AH37:AJ37" si="379">AG37</f>
        <v>2</v>
      </c>
      <c r="AI37" s="39">
        <f t="shared" si="379"/>
        <v>2</v>
      </c>
      <c r="AJ37" s="39">
        <f t="shared" si="379"/>
        <v>2</v>
      </c>
      <c r="AK37" s="10">
        <f t="shared" si="371"/>
        <v>8</v>
      </c>
      <c r="AL37" s="39">
        <f t="shared" si="372"/>
        <v>2</v>
      </c>
      <c r="AM37" s="39">
        <f t="shared" ref="AM37:AO37" si="380">AL37</f>
        <v>2</v>
      </c>
      <c r="AN37" s="39">
        <f t="shared" si="380"/>
        <v>2</v>
      </c>
      <c r="AO37" s="39">
        <f t="shared" si="380"/>
        <v>2</v>
      </c>
      <c r="AP37" s="10">
        <f t="shared" si="374"/>
        <v>8</v>
      </c>
      <c r="AQ37" s="39">
        <f t="shared" si="375"/>
        <v>2</v>
      </c>
      <c r="AR37" s="39">
        <f t="shared" ref="AR37:AT37" si="381">AQ37</f>
        <v>2</v>
      </c>
      <c r="AS37" s="39">
        <f t="shared" si="381"/>
        <v>2</v>
      </c>
      <c r="AT37" s="39">
        <f t="shared" si="381"/>
        <v>2</v>
      </c>
      <c r="AU37" s="10">
        <f t="shared" si="377"/>
        <v>8</v>
      </c>
    </row>
    <row r="38" spans="1:47" x14ac:dyDescent="0.25">
      <c r="A38" s="9" t="s">
        <v>63</v>
      </c>
      <c r="B38" s="9" t="s">
        <v>146</v>
      </c>
      <c r="C38" s="12">
        <v>5.5</v>
      </c>
      <c r="D38" s="12">
        <v>-12.3</v>
      </c>
      <c r="E38" s="12">
        <v>-6.7</v>
      </c>
      <c r="F38" s="12">
        <v>-34.6</v>
      </c>
      <c r="G38" s="10">
        <f t="shared" si="362"/>
        <v>-48.1</v>
      </c>
      <c r="H38" s="12">
        <v>-4</v>
      </c>
      <c r="I38" s="12">
        <v>-11.4</v>
      </c>
      <c r="J38" s="12">
        <v>-42.7</v>
      </c>
      <c r="K38" s="12">
        <v>0</v>
      </c>
      <c r="L38" s="10">
        <f t="shared" si="363"/>
        <v>-58.1</v>
      </c>
      <c r="M38" s="12">
        <v>0</v>
      </c>
      <c r="N38" s="12">
        <v>0</v>
      </c>
      <c r="O38" s="12">
        <v>0</v>
      </c>
      <c r="P38" s="12">
        <v>0</v>
      </c>
      <c r="Q38" s="10">
        <f t="shared" si="110"/>
        <v>0</v>
      </c>
      <c r="R38" s="12">
        <v>0</v>
      </c>
      <c r="S38" s="12">
        <v>0</v>
      </c>
      <c r="T38" s="12">
        <v>0</v>
      </c>
      <c r="U38" s="39">
        <v>0</v>
      </c>
      <c r="V38" s="10">
        <f t="shared" ref="V38" si="382">R38+S38+T38+U38</f>
        <v>0</v>
      </c>
      <c r="W38" s="39">
        <v>0</v>
      </c>
      <c r="X38" s="39">
        <v>0</v>
      </c>
      <c r="Y38" s="39">
        <v>0</v>
      </c>
      <c r="Z38" s="39">
        <v>0</v>
      </c>
      <c r="AA38" s="10">
        <f t="shared" ref="AA38" si="383">W38+X38+Y38+Z38</f>
        <v>0</v>
      </c>
      <c r="AB38" s="39">
        <v>0</v>
      </c>
      <c r="AC38" s="39">
        <v>0</v>
      </c>
      <c r="AD38" s="39">
        <v>0</v>
      </c>
      <c r="AE38" s="39">
        <v>0</v>
      </c>
      <c r="AF38" s="10">
        <f t="shared" ref="AF38" si="384">AB38+AC38+AD38+AE38</f>
        <v>0</v>
      </c>
      <c r="AG38" s="39">
        <v>0</v>
      </c>
      <c r="AH38" s="39">
        <v>0</v>
      </c>
      <c r="AI38" s="39">
        <v>0</v>
      </c>
      <c r="AJ38" s="39">
        <v>0</v>
      </c>
      <c r="AK38" s="10">
        <f t="shared" ref="AK38" si="385">AG38+AH38+AI38+AJ38</f>
        <v>0</v>
      </c>
      <c r="AL38" s="39">
        <v>0</v>
      </c>
      <c r="AM38" s="39">
        <v>0</v>
      </c>
      <c r="AN38" s="39">
        <v>0</v>
      </c>
      <c r="AO38" s="39">
        <v>0</v>
      </c>
      <c r="AP38" s="10">
        <f t="shared" ref="AP38" si="386">AL38+AM38+AN38+AO38</f>
        <v>0</v>
      </c>
      <c r="AQ38" s="39">
        <v>0</v>
      </c>
      <c r="AR38" s="39">
        <v>0</v>
      </c>
      <c r="AS38" s="39">
        <v>0</v>
      </c>
      <c r="AT38" s="39">
        <v>0</v>
      </c>
      <c r="AU38" s="10">
        <f t="shared" ref="AU38" si="387">AQ38+AR38+AS38+AT38</f>
        <v>0</v>
      </c>
    </row>
    <row r="39" spans="1:47" s="8" customFormat="1" x14ac:dyDescent="0.25">
      <c r="A39" s="8" t="s">
        <v>64</v>
      </c>
      <c r="B39" s="8" t="s">
        <v>146</v>
      </c>
      <c r="C39" s="20">
        <f>C29+C31+C33+C35+C38</f>
        <v>3190.0999999999995</v>
      </c>
      <c r="D39" s="20">
        <f t="shared" ref="D39" si="388">D29+D31+D33+D35+D38</f>
        <v>2769.1</v>
      </c>
      <c r="E39" s="20">
        <f t="shared" ref="E39" si="389">E29+E31+E33+E35+E38</f>
        <v>2688.8</v>
      </c>
      <c r="F39" s="20">
        <f t="shared" ref="F39" si="390">F29+F31+F33+F35+F38</f>
        <v>2166.1999999999998</v>
      </c>
      <c r="G39" s="20">
        <f t="shared" ref="G39" si="391">G29+G31+G33+G35+G38</f>
        <v>10814.199999999997</v>
      </c>
      <c r="H39" s="20">
        <f>H29+H31+H33+H35+H38</f>
        <v>3895.8</v>
      </c>
      <c r="I39" s="20">
        <f t="shared" ref="I39:T39" si="392">I29+I31+I33+I35+I38</f>
        <v>3224</v>
      </c>
      <c r="J39" s="20">
        <f t="shared" si="392"/>
        <v>2819.2999999999988</v>
      </c>
      <c r="K39" s="20">
        <f t="shared" si="392"/>
        <v>2543.6000000000022</v>
      </c>
      <c r="L39" s="20">
        <f t="shared" si="392"/>
        <v>12482.699999999992</v>
      </c>
      <c r="M39" s="20">
        <f t="shared" si="392"/>
        <v>3297.6000000000013</v>
      </c>
      <c r="N39" s="20">
        <f t="shared" si="392"/>
        <v>3773.7000000000003</v>
      </c>
      <c r="O39" s="20">
        <f t="shared" si="392"/>
        <v>3584.4999999999982</v>
      </c>
      <c r="P39" s="20">
        <f t="shared" si="392"/>
        <v>2932.2000000000007</v>
      </c>
      <c r="Q39" s="20">
        <f t="shared" si="392"/>
        <v>13588.000000000004</v>
      </c>
      <c r="R39" s="20">
        <f t="shared" si="392"/>
        <v>3768.3000000000015</v>
      </c>
      <c r="S39" s="20">
        <f t="shared" si="392"/>
        <v>3542.200000000003</v>
      </c>
      <c r="T39" s="20">
        <f t="shared" si="392"/>
        <v>3305.8999999999983</v>
      </c>
      <c r="U39" s="20">
        <f>U29+U31+U33+U35+U38</f>
        <v>3474.8716235910806</v>
      </c>
      <c r="V39" s="20">
        <f t="shared" ref="V39" si="393">V29+V31+V33+V35+V38</f>
        <v>14091.271623591081</v>
      </c>
      <c r="W39" s="20">
        <f t="shared" ref="W39" si="394">W29+W31+W33+W35+W38</f>
        <v>3902.4029556125897</v>
      </c>
      <c r="X39" s="20">
        <f t="shared" ref="X39" si="395">X29+X31+X33+X35+X38</f>
        <v>3671.6241721399952</v>
      </c>
      <c r="Y39" s="20">
        <f t="shared" ref="Y39" si="396">Y29+Y31+Y33+Y35+Y38</f>
        <v>3839.8903350771884</v>
      </c>
      <c r="Z39" s="20">
        <f t="shared" ref="Z39" si="397">Z29+Z31+Z33+Z35+Z38</f>
        <v>3704.5322734874499</v>
      </c>
      <c r="AA39" s="20">
        <f t="shared" ref="AA39" si="398">AA29+AA31+AA33+AA35+AA38</f>
        <v>15118.449736317223</v>
      </c>
      <c r="AB39" s="20">
        <f t="shared" ref="AB39" si="399">AB29+AB31+AB33+AB35+AB38</f>
        <v>4180.8078096899953</v>
      </c>
      <c r="AC39" s="20">
        <f t="shared" ref="AC39" si="400">AC29+AC31+AC33+AC35+AC38</f>
        <v>3997.7586085303842</v>
      </c>
      <c r="AD39" s="20">
        <f t="shared" ref="AD39" si="401">AD29+AD31+AD33+AD35+AD38</f>
        <v>4208.785853454915</v>
      </c>
      <c r="AE39" s="20">
        <f>AE29+AE31+AE33+AE35+AE38</f>
        <v>4042.0420788568549</v>
      </c>
      <c r="AF39" s="20">
        <f t="shared" ref="AF39" si="402">AF29+AF31+AF33+AF35+AF38</f>
        <v>16429.394350532151</v>
      </c>
      <c r="AG39" s="20">
        <f t="shared" ref="AG39" si="403">AG29+AG31+AG33+AG35+AG38</f>
        <v>4457.1567034896034</v>
      </c>
      <c r="AH39" s="20">
        <f t="shared" ref="AH39" si="404">AH29+AH31+AH33+AH35+AH38</f>
        <v>4265.9675132077664</v>
      </c>
      <c r="AI39" s="20">
        <f t="shared" ref="AI39" si="405">AI29+AI31+AI33+AI35+AI38</f>
        <v>4492.5903239117315</v>
      </c>
      <c r="AJ39" s="20">
        <f t="shared" ref="AJ39" si="406">AJ29+AJ31+AJ33+AJ35+AJ38</f>
        <v>4313.9464322787235</v>
      </c>
      <c r="AK39" s="20">
        <f t="shared" ref="AK39" si="407">AK29+AK31+AK33+AK35+AK38</f>
        <v>17529.660972887821</v>
      </c>
      <c r="AL39" s="20">
        <f t="shared" ref="AL39" si="408">AL29+AL31+AL33+AL35+AL38</f>
        <v>4760.3723364585649</v>
      </c>
      <c r="AM39" s="20">
        <f t="shared" ref="AM39" si="409">AM29+AM31+AM33+AM35+AM38</f>
        <v>4556.064447705432</v>
      </c>
      <c r="AN39" s="20">
        <f t="shared" ref="AN39" si="410">AN29+AN31+AN33+AN35+AN38</f>
        <v>4798.3760065340011</v>
      </c>
      <c r="AO39" s="20">
        <f t="shared" ref="AO39" si="411">AO29+AO31+AO33+AO35+AO38</f>
        <v>4608.4881934063978</v>
      </c>
      <c r="AP39" s="20">
        <f t="shared" ref="AP39" si="412">AP29+AP31+AP33+AP35+AP38</f>
        <v>18723.300984104397</v>
      </c>
      <c r="AQ39" s="20">
        <f t="shared" ref="AQ39" si="413">AQ29+AQ31+AQ33+AQ35+AQ38</f>
        <v>5085.822019863288</v>
      </c>
      <c r="AR39" s="20">
        <f t="shared" ref="AR39" si="414">AR29+AR31+AR33+AR35+AR38</f>
        <v>4867.237989763652</v>
      </c>
      <c r="AS39" s="20">
        <f t="shared" ref="AS39" si="415">AS29+AS31+AS33+AS35+AS38</f>
        <v>5126.4284812890264</v>
      </c>
      <c r="AT39" s="20">
        <f t="shared" ref="AT39" si="416">AT29+AT31+AT33+AT35+AT38</f>
        <v>4924.6254657021</v>
      </c>
      <c r="AU39" s="20">
        <f t="shared" ref="AU39" si="417">AU29+AU31+AU33+AU35+AU38</f>
        <v>20004.113956618068</v>
      </c>
    </row>
    <row r="40" spans="1:47" x14ac:dyDescent="0.25">
      <c r="A40" s="9" t="s">
        <v>65</v>
      </c>
      <c r="B40" s="9" t="s">
        <v>146</v>
      </c>
      <c r="C40" s="10">
        <f>C41+C43</f>
        <v>-925.9</v>
      </c>
      <c r="D40" s="10">
        <f t="shared" ref="D40:T40" si="418">D41+D43</f>
        <v>-835.7</v>
      </c>
      <c r="E40" s="10">
        <f t="shared" si="418"/>
        <v>-822.1</v>
      </c>
      <c r="F40" s="10">
        <f t="shared" si="418"/>
        <v>-637.4</v>
      </c>
      <c r="G40" s="10">
        <f t="shared" si="418"/>
        <v>-3221.1</v>
      </c>
      <c r="H40" s="10">
        <f t="shared" si="418"/>
        <v>-1174.3</v>
      </c>
      <c r="I40" s="10">
        <f t="shared" si="418"/>
        <v>-911.7</v>
      </c>
      <c r="J40" s="10">
        <f t="shared" si="418"/>
        <v>-793.2</v>
      </c>
      <c r="K40" s="10">
        <f t="shared" si="418"/>
        <v>-971.30000000000007</v>
      </c>
      <c r="L40" s="10">
        <f t="shared" si="418"/>
        <v>-3850.4999999999995</v>
      </c>
      <c r="M40" s="10">
        <f t="shared" si="418"/>
        <v>-1032.5</v>
      </c>
      <c r="N40" s="10">
        <f t="shared" si="418"/>
        <v>-1244.5</v>
      </c>
      <c r="O40" s="10">
        <f t="shared" si="418"/>
        <v>-1193.0999999999999</v>
      </c>
      <c r="P40" s="10">
        <f t="shared" si="418"/>
        <v>-457</v>
      </c>
      <c r="Q40" s="10">
        <f t="shared" si="418"/>
        <v>-3927.1</v>
      </c>
      <c r="R40" s="10">
        <f t="shared" si="418"/>
        <v>-1360.5</v>
      </c>
      <c r="S40" s="10">
        <f t="shared" si="418"/>
        <v>-1230.3999999999999</v>
      </c>
      <c r="T40" s="10">
        <f t="shared" si="418"/>
        <v>-1110.3</v>
      </c>
      <c r="U40" s="10">
        <f t="shared" ref="U40:AU40" si="419">U41+U43</f>
        <v>-1073.7353316896438</v>
      </c>
      <c r="V40" s="10">
        <f t="shared" si="419"/>
        <v>-4774.9353316896431</v>
      </c>
      <c r="W40" s="10">
        <f t="shared" si="419"/>
        <v>-1205.8425132842901</v>
      </c>
      <c r="X40" s="10">
        <f t="shared" si="419"/>
        <v>-1134.5318691912585</v>
      </c>
      <c r="Y40" s="10">
        <f t="shared" si="419"/>
        <v>-1186.5261135388512</v>
      </c>
      <c r="Z40" s="10">
        <f t="shared" si="419"/>
        <v>-1144.700472507622</v>
      </c>
      <c r="AA40" s="10">
        <f t="shared" si="419"/>
        <v>-4671.6009685220215</v>
      </c>
      <c r="AB40" s="10">
        <f t="shared" si="419"/>
        <v>-1291.8696131942086</v>
      </c>
      <c r="AC40" s="10">
        <f t="shared" si="419"/>
        <v>-1235.3074100358886</v>
      </c>
      <c r="AD40" s="10">
        <f t="shared" si="419"/>
        <v>-1300.5148287175687</v>
      </c>
      <c r="AE40" s="10">
        <f>AE41+AE43</f>
        <v>-1248.9910023667683</v>
      </c>
      <c r="AF40" s="10">
        <f t="shared" si="419"/>
        <v>-5076.6828543144347</v>
      </c>
      <c r="AG40" s="10">
        <f t="shared" si="419"/>
        <v>-1377.2614213782874</v>
      </c>
      <c r="AH40" s="10">
        <f t="shared" si="419"/>
        <v>-1318.1839615811998</v>
      </c>
      <c r="AI40" s="10">
        <f t="shared" si="419"/>
        <v>-1388.210410088725</v>
      </c>
      <c r="AJ40" s="10">
        <f t="shared" si="419"/>
        <v>-1333.0094475741255</v>
      </c>
      <c r="AK40" s="10">
        <f t="shared" si="419"/>
        <v>-5416.6652406223384</v>
      </c>
      <c r="AL40" s="10">
        <f t="shared" si="419"/>
        <v>-1470.9550519656964</v>
      </c>
      <c r="AM40" s="10">
        <f t="shared" si="419"/>
        <v>-1407.8239143409785</v>
      </c>
      <c r="AN40" s="10">
        <f t="shared" si="419"/>
        <v>-1482.6981860190062</v>
      </c>
      <c r="AO40" s="10">
        <f t="shared" si="419"/>
        <v>-1424.0228517625769</v>
      </c>
      <c r="AP40" s="10">
        <f t="shared" si="419"/>
        <v>-5785.5000040882578</v>
      </c>
      <c r="AQ40" s="10">
        <f t="shared" si="419"/>
        <v>-1571.5190041377559</v>
      </c>
      <c r="AR40" s="10">
        <f t="shared" si="419"/>
        <v>-1503.9765388369685</v>
      </c>
      <c r="AS40" s="10">
        <f t="shared" si="419"/>
        <v>-1584.0664007183091</v>
      </c>
      <c r="AT40" s="10">
        <f t="shared" si="419"/>
        <v>-1521.7092689019487</v>
      </c>
      <c r="AU40" s="10">
        <f t="shared" si="419"/>
        <v>-6181.2712125949829</v>
      </c>
    </row>
    <row r="41" spans="1:47" outlineLevel="1" x14ac:dyDescent="0.25">
      <c r="A41" s="11" t="s">
        <v>66</v>
      </c>
      <c r="B41" s="9" t="s">
        <v>146</v>
      </c>
      <c r="C41" s="12">
        <v>-925.9</v>
      </c>
      <c r="D41" s="12">
        <v>-835.7</v>
      </c>
      <c r="E41" s="12">
        <v>-822.1</v>
      </c>
      <c r="F41" s="12">
        <v>-637.4</v>
      </c>
      <c r="G41" s="10">
        <f t="shared" ref="G41:G43" si="420">C41+D41+E41+F41</f>
        <v>-3221.1</v>
      </c>
      <c r="H41" s="12">
        <v>-1174.3</v>
      </c>
      <c r="I41" s="12">
        <v>-911.7</v>
      </c>
      <c r="J41" s="12">
        <v>-793.2</v>
      </c>
      <c r="K41" s="12">
        <v>-951.2</v>
      </c>
      <c r="L41" s="10">
        <f t="shared" ref="L41:L43" si="421">H41+I41+J41+K41</f>
        <v>-3830.3999999999996</v>
      </c>
      <c r="M41" s="12">
        <v>-980.3</v>
      </c>
      <c r="N41" s="12">
        <v>-1211.4000000000001</v>
      </c>
      <c r="O41" s="12">
        <v>-1144.5999999999999</v>
      </c>
      <c r="P41" s="12">
        <v>-404.5</v>
      </c>
      <c r="Q41" s="10">
        <f t="shared" ref="Q41:Q47" si="422">M41+N41+O41+P41</f>
        <v>-3740.7999999999997</v>
      </c>
      <c r="R41" s="12">
        <v>-1342.8</v>
      </c>
      <c r="S41" s="12">
        <v>-1131.8</v>
      </c>
      <c r="T41" s="12">
        <v>-1183.8</v>
      </c>
      <c r="U41" s="10">
        <f>-IFERROR(U39*U42,"na")</f>
        <v>-1042.4614870773241</v>
      </c>
      <c r="V41" s="10">
        <f t="shared" ref="V41" si="423">R41+S41+T41+U41</f>
        <v>-4700.8614870773235</v>
      </c>
      <c r="W41" s="10">
        <f t="shared" ref="W41:Z41" si="424">-IFERROR(W39*W42,"na")</f>
        <v>-1170.7208866837768</v>
      </c>
      <c r="X41" s="10">
        <f t="shared" si="424"/>
        <v>-1101.4872516419985</v>
      </c>
      <c r="Y41" s="10">
        <f t="shared" si="424"/>
        <v>-1151.9671005231564</v>
      </c>
      <c r="Z41" s="10">
        <f t="shared" si="424"/>
        <v>-1111.3596820462349</v>
      </c>
      <c r="AA41" s="10">
        <f t="shared" ref="AA41" si="425">W41+X41+Y41+Z41</f>
        <v>-4535.5349208951666</v>
      </c>
      <c r="AB41" s="10">
        <f t="shared" ref="AB41" si="426">-IFERROR(AB39*AB42,"na")</f>
        <v>-1254.2423429069986</v>
      </c>
      <c r="AC41" s="10">
        <f t="shared" ref="AC41" si="427">-IFERROR(AC39*AC42,"na")</f>
        <v>-1199.3275825591152</v>
      </c>
      <c r="AD41" s="10">
        <f t="shared" ref="AD41" si="428">-IFERROR(AD39*AD42,"na")</f>
        <v>-1262.6357560364745</v>
      </c>
      <c r="AE41" s="10">
        <f>-IFERROR(AE39*AE42,"na")</f>
        <v>-1212.6126236570565</v>
      </c>
      <c r="AF41" s="10">
        <f t="shared" ref="AF41" si="429">AB41+AC41+AD41+AE41</f>
        <v>-4928.8183051596452</v>
      </c>
      <c r="AG41" s="10">
        <f t="shared" ref="AG41" si="430">-IFERROR(AG39*AG42,"na")</f>
        <v>-1337.1470110468811</v>
      </c>
      <c r="AH41" s="10">
        <f t="shared" ref="AH41" si="431">-IFERROR(AH39*AH42,"na")</f>
        <v>-1279.7902539623299</v>
      </c>
      <c r="AI41" s="10">
        <f t="shared" ref="AI41" si="432">-IFERROR(AI39*AI42,"na")</f>
        <v>-1347.7770971735195</v>
      </c>
      <c r="AJ41" s="10">
        <f t="shared" ref="AJ41" si="433">-IFERROR(AJ39*AJ42,"na")</f>
        <v>-1294.183929683617</v>
      </c>
      <c r="AK41" s="10">
        <f t="shared" ref="AK41" si="434">AG41+AH41+AI41+AJ41</f>
        <v>-5258.8982918663478</v>
      </c>
      <c r="AL41" s="10">
        <f t="shared" ref="AL41" si="435">-IFERROR(AL39*AL42,"na")</f>
        <v>-1428.1117009375694</v>
      </c>
      <c r="AM41" s="10">
        <f t="shared" ref="AM41" si="436">-IFERROR(AM39*AM42,"na")</f>
        <v>-1366.8193343116295</v>
      </c>
      <c r="AN41" s="10">
        <f t="shared" ref="AN41" si="437">-IFERROR(AN39*AN42,"na")</f>
        <v>-1439.5128019602002</v>
      </c>
      <c r="AO41" s="10">
        <f t="shared" ref="AO41" si="438">-IFERROR(AO39*AO42,"na")</f>
        <v>-1382.5464580219193</v>
      </c>
      <c r="AP41" s="10">
        <f t="shared" ref="AP41" si="439">AL41+AM41+AN41+AO41</f>
        <v>-5616.9902952313187</v>
      </c>
      <c r="AQ41" s="10">
        <f t="shared" ref="AQ41" si="440">-IFERROR(AQ39*AQ42,"na")</f>
        <v>-1525.7466059589863</v>
      </c>
      <c r="AR41" s="10">
        <f t="shared" ref="AR41" si="441">-IFERROR(AR39*AR42,"na")</f>
        <v>-1460.1713969290956</v>
      </c>
      <c r="AS41" s="10">
        <f t="shared" ref="AS41" si="442">-IFERROR(AS39*AS42,"na")</f>
        <v>-1537.9285443867079</v>
      </c>
      <c r="AT41" s="10">
        <f t="shared" ref="AT41" si="443">-IFERROR(AT39*AT42,"na")</f>
        <v>-1477.3876397106299</v>
      </c>
      <c r="AU41" s="10">
        <f t="shared" ref="AU41" si="444">AQ41+AR41+AS41+AT41</f>
        <v>-6001.2341869854199</v>
      </c>
    </row>
    <row r="42" spans="1:47" s="35" customFormat="1" outlineLevel="1" x14ac:dyDescent="0.25">
      <c r="A42" s="40" t="s">
        <v>165</v>
      </c>
      <c r="B42" s="35" t="s">
        <v>145</v>
      </c>
      <c r="C42" s="29">
        <f>-IFERROR(C41/C39,"na")</f>
        <v>0.2902416852136297</v>
      </c>
      <c r="D42" s="29">
        <f t="shared" ref="D42:V42" si="445">-IFERROR(D41/D39,"na")</f>
        <v>0.30179480697699618</v>
      </c>
      <c r="E42" s="29">
        <f t="shared" si="445"/>
        <v>0.30574977685212734</v>
      </c>
      <c r="F42" s="29">
        <f t="shared" si="445"/>
        <v>0.29424799187517314</v>
      </c>
      <c r="G42" s="29">
        <f t="shared" si="445"/>
        <v>0.29785837140056598</v>
      </c>
      <c r="H42" s="29">
        <f t="shared" si="445"/>
        <v>0.30142717798654961</v>
      </c>
      <c r="I42" s="29">
        <f t="shared" si="445"/>
        <v>0.28278535980148883</v>
      </c>
      <c r="J42" s="29">
        <f t="shared" si="445"/>
        <v>0.28134643351186478</v>
      </c>
      <c r="K42" s="29">
        <f t="shared" si="445"/>
        <v>0.37395816952350969</v>
      </c>
      <c r="L42" s="29">
        <f t="shared" si="445"/>
        <v>0.3068566896584875</v>
      </c>
      <c r="M42" s="29">
        <f t="shared" si="445"/>
        <v>0.29727680737506051</v>
      </c>
      <c r="N42" s="29">
        <f t="shared" si="445"/>
        <v>0.3210112091581207</v>
      </c>
      <c r="O42" s="29">
        <f t="shared" si="445"/>
        <v>0.3193192913934999</v>
      </c>
      <c r="P42" s="29">
        <f t="shared" si="445"/>
        <v>0.13795102653297861</v>
      </c>
      <c r="Q42" s="29">
        <f t="shared" si="445"/>
        <v>0.27530173682661163</v>
      </c>
      <c r="R42" s="29">
        <f t="shared" si="445"/>
        <v>0.35634105564843549</v>
      </c>
      <c r="S42" s="29">
        <f t="shared" si="445"/>
        <v>0.31951894302975525</v>
      </c>
      <c r="T42" s="29">
        <f t="shared" si="445"/>
        <v>0.35808705647478767</v>
      </c>
      <c r="U42" s="36">
        <v>0.3</v>
      </c>
      <c r="V42" s="29">
        <f t="shared" si="445"/>
        <v>0.33360094196235041</v>
      </c>
      <c r="W42" s="36">
        <v>0.3</v>
      </c>
      <c r="X42" s="36">
        <f>W42</f>
        <v>0.3</v>
      </c>
      <c r="Y42" s="36">
        <f>X42</f>
        <v>0.3</v>
      </c>
      <c r="Z42" s="36">
        <f>Y42</f>
        <v>0.3</v>
      </c>
      <c r="AA42" s="29">
        <f>-IFERROR(AA41/AA39,"na")</f>
        <v>0.3</v>
      </c>
      <c r="AB42" s="36">
        <f t="shared" ref="AB42" si="446">Z42</f>
        <v>0.3</v>
      </c>
      <c r="AC42" s="36">
        <f t="shared" ref="AC42:AE42" si="447">AB42</f>
        <v>0.3</v>
      </c>
      <c r="AD42" s="36">
        <f t="shared" si="447"/>
        <v>0.3</v>
      </c>
      <c r="AE42" s="36">
        <f t="shared" si="447"/>
        <v>0.3</v>
      </c>
      <c r="AF42" s="29">
        <f t="shared" ref="AF42" si="448">-IFERROR(AF41/AF39,"na")</f>
        <v>0.3</v>
      </c>
      <c r="AG42" s="36">
        <f t="shared" ref="AG42" si="449">AE42</f>
        <v>0.3</v>
      </c>
      <c r="AH42" s="36">
        <f t="shared" ref="AH42:AJ42" si="450">AG42</f>
        <v>0.3</v>
      </c>
      <c r="AI42" s="36">
        <f t="shared" si="450"/>
        <v>0.3</v>
      </c>
      <c r="AJ42" s="36">
        <f t="shared" si="450"/>
        <v>0.3</v>
      </c>
      <c r="AK42" s="29">
        <f t="shared" ref="AK42" si="451">-IFERROR(AK41/AK39,"na")</f>
        <v>0.3000000000000001</v>
      </c>
      <c r="AL42" s="36">
        <f t="shared" ref="AL42" si="452">AJ42</f>
        <v>0.3</v>
      </c>
      <c r="AM42" s="36">
        <f t="shared" ref="AM42:AO42" si="453">AL42</f>
        <v>0.3</v>
      </c>
      <c r="AN42" s="36">
        <f t="shared" si="453"/>
        <v>0.3</v>
      </c>
      <c r="AO42" s="36">
        <f t="shared" si="453"/>
        <v>0.3</v>
      </c>
      <c r="AP42" s="29">
        <f t="shared" ref="AP42" si="454">-IFERROR(AP41/AP39,"na")</f>
        <v>0.3</v>
      </c>
      <c r="AQ42" s="36">
        <f t="shared" ref="AQ42" si="455">AO42</f>
        <v>0.3</v>
      </c>
      <c r="AR42" s="36">
        <f t="shared" ref="AR42:AT42" si="456">AQ42</f>
        <v>0.3</v>
      </c>
      <c r="AS42" s="36">
        <f t="shared" si="456"/>
        <v>0.3</v>
      </c>
      <c r="AT42" s="36">
        <f t="shared" si="456"/>
        <v>0.3</v>
      </c>
      <c r="AU42" s="29">
        <f t="shared" ref="AU42" si="457">-IFERROR(AU41/AU39,"na")</f>
        <v>0.3</v>
      </c>
    </row>
    <row r="43" spans="1:47" outlineLevel="1" x14ac:dyDescent="0.25">
      <c r="A43" s="11" t="s">
        <v>67</v>
      </c>
      <c r="B43" s="9" t="s">
        <v>146</v>
      </c>
      <c r="C43" s="12">
        <v>0</v>
      </c>
      <c r="D43" s="12">
        <v>0</v>
      </c>
      <c r="E43" s="12">
        <v>0</v>
      </c>
      <c r="F43" s="12">
        <v>0</v>
      </c>
      <c r="G43" s="10">
        <f t="shared" si="420"/>
        <v>0</v>
      </c>
      <c r="H43" s="12">
        <v>0</v>
      </c>
      <c r="I43" s="12">
        <v>0</v>
      </c>
      <c r="J43" s="12">
        <v>0</v>
      </c>
      <c r="K43" s="12">
        <v>-20.100000000000001</v>
      </c>
      <c r="L43" s="10">
        <f t="shared" si="421"/>
        <v>-20.100000000000001</v>
      </c>
      <c r="M43" s="12">
        <v>-52.2</v>
      </c>
      <c r="N43" s="12">
        <v>-33.1</v>
      </c>
      <c r="O43" s="12">
        <v>-48.5</v>
      </c>
      <c r="P43" s="12">
        <v>-52.5</v>
      </c>
      <c r="Q43" s="10">
        <f t="shared" si="422"/>
        <v>-186.3</v>
      </c>
      <c r="R43" s="12">
        <v>-17.7</v>
      </c>
      <c r="S43" s="12">
        <v>-98.6</v>
      </c>
      <c r="T43" s="12">
        <v>73.5</v>
      </c>
      <c r="U43" s="10">
        <f>IFERROR(U41*U44,"na")</f>
        <v>-31.273844612319724</v>
      </c>
      <c r="V43" s="10">
        <f t="shared" ref="V43" si="458">R43+S43+T43+U43</f>
        <v>-74.073844612319718</v>
      </c>
      <c r="W43" s="10">
        <f t="shared" ref="W43:Z43" si="459">IFERROR(W41*W44,"na")</f>
        <v>-35.121626600513302</v>
      </c>
      <c r="X43" s="10">
        <f t="shared" si="459"/>
        <v>-33.044617549259954</v>
      </c>
      <c r="Y43" s="10">
        <f t="shared" si="459"/>
        <v>-34.559013015694688</v>
      </c>
      <c r="Z43" s="10">
        <f t="shared" si="459"/>
        <v>-33.340790461387044</v>
      </c>
      <c r="AA43" s="10">
        <f t="shared" ref="AA43" si="460">W43+X43+Y43+Z43</f>
        <v>-136.06604762685498</v>
      </c>
      <c r="AB43" s="10">
        <f t="shared" ref="AB43" si="461">IFERROR(AB41*AB44,"na")</f>
        <v>-37.62727028720996</v>
      </c>
      <c r="AC43" s="10">
        <f t="shared" ref="AC43" si="462">IFERROR(AC41*AC44,"na")</f>
        <v>-35.979827476773451</v>
      </c>
      <c r="AD43" s="10">
        <f t="shared" ref="AD43" si="463">IFERROR(AD41*AD44,"na")</f>
        <v>-37.879072681094236</v>
      </c>
      <c r="AE43" s="10">
        <f t="shared" ref="AE43" si="464">IFERROR(AE41*AE44,"na")</f>
        <v>-36.37837870971169</v>
      </c>
      <c r="AF43" s="10">
        <f t="shared" ref="AF43" si="465">AB43+AC43+AD43+AE43</f>
        <v>-147.86454915478933</v>
      </c>
      <c r="AG43" s="10">
        <f t="shared" ref="AG43" si="466">IFERROR(AG41*AG44,"na")</f>
        <v>-40.114410331406432</v>
      </c>
      <c r="AH43" s="10">
        <f t="shared" ref="AH43" si="467">IFERROR(AH41*AH44,"na")</f>
        <v>-38.393707618869897</v>
      </c>
      <c r="AI43" s="10">
        <f t="shared" ref="AI43" si="468">IFERROR(AI41*AI44,"na")</f>
        <v>-40.433312915205583</v>
      </c>
      <c r="AJ43" s="10">
        <f t="shared" ref="AJ43" si="469">IFERROR(AJ41*AJ44,"na")</f>
        <v>-38.825517890508507</v>
      </c>
      <c r="AK43" s="10">
        <f t="shared" ref="AK43" si="470">AG43+AH43+AI43+AJ43</f>
        <v>-157.76694875599043</v>
      </c>
      <c r="AL43" s="10">
        <f t="shared" ref="AL43" si="471">IFERROR(AL41*AL44,"na")</f>
        <v>-42.843351028127081</v>
      </c>
      <c r="AM43" s="10">
        <f t="shared" ref="AM43" si="472">IFERROR(AM41*AM44,"na")</f>
        <v>-41.004580029348887</v>
      </c>
      <c r="AN43" s="10">
        <f t="shared" ref="AN43" si="473">IFERROR(AN41*AN44,"na")</f>
        <v>-43.185384058806008</v>
      </c>
      <c r="AO43" s="10">
        <f t="shared" ref="AO43" si="474">IFERROR(AO41*AO44,"na")</f>
        <v>-41.476393740657578</v>
      </c>
      <c r="AP43" s="10">
        <f t="shared" ref="AP43" si="475">AL43+AM43+AN43+AO43</f>
        <v>-168.50970885693954</v>
      </c>
      <c r="AQ43" s="10">
        <f t="shared" ref="AQ43" si="476">IFERROR(AQ41*AQ44,"na")</f>
        <v>-45.772398178769585</v>
      </c>
      <c r="AR43" s="10">
        <f t="shared" ref="AR43" si="477">IFERROR(AR41*AR44,"na")</f>
        <v>-43.805141907872866</v>
      </c>
      <c r="AS43" s="10">
        <f t="shared" ref="AS43" si="478">IFERROR(AS41*AS44,"na")</f>
        <v>-46.137856331601235</v>
      </c>
      <c r="AT43" s="10">
        <f t="shared" ref="AT43" si="479">IFERROR(AT41*AT44,"na")</f>
        <v>-44.321629191318891</v>
      </c>
      <c r="AU43" s="10">
        <f t="shared" ref="AU43" si="480">AQ43+AR43+AS43+AT43</f>
        <v>-180.03702560956256</v>
      </c>
    </row>
    <row r="44" spans="1:47" s="35" customFormat="1" outlineLevel="1" x14ac:dyDescent="0.25">
      <c r="A44" s="40" t="s">
        <v>164</v>
      </c>
      <c r="B44" s="35" t="s">
        <v>145</v>
      </c>
      <c r="C44" s="29">
        <f>IFERROR(C43/C41,"na")</f>
        <v>0</v>
      </c>
      <c r="D44" s="29">
        <f t="shared" ref="D44:V44" si="481">IFERROR(D43/D41,"na")</f>
        <v>0</v>
      </c>
      <c r="E44" s="29">
        <f t="shared" si="481"/>
        <v>0</v>
      </c>
      <c r="F44" s="29">
        <f t="shared" si="481"/>
        <v>0</v>
      </c>
      <c r="G44" s="29">
        <f t="shared" si="481"/>
        <v>0</v>
      </c>
      <c r="H44" s="29">
        <f t="shared" si="481"/>
        <v>0</v>
      </c>
      <c r="I44" s="29">
        <f t="shared" si="481"/>
        <v>0</v>
      </c>
      <c r="J44" s="29">
        <f t="shared" si="481"/>
        <v>0</v>
      </c>
      <c r="K44" s="29">
        <f t="shared" si="481"/>
        <v>2.113120269133726E-2</v>
      </c>
      <c r="L44" s="29">
        <f t="shared" si="481"/>
        <v>5.2474937343358402E-3</v>
      </c>
      <c r="M44" s="29">
        <f t="shared" si="481"/>
        <v>5.3249005406508218E-2</v>
      </c>
      <c r="N44" s="29">
        <f t="shared" si="481"/>
        <v>2.7323757635793297E-2</v>
      </c>
      <c r="O44" s="29">
        <f t="shared" si="481"/>
        <v>4.2372881355932208E-2</v>
      </c>
      <c r="P44" s="29">
        <f t="shared" si="481"/>
        <v>0.12978986402966625</v>
      </c>
      <c r="Q44" s="29">
        <f t="shared" si="481"/>
        <v>4.9802181351582556E-2</v>
      </c>
      <c r="R44" s="29">
        <f t="shared" si="481"/>
        <v>1.3181411974977658E-2</v>
      </c>
      <c r="S44" s="29">
        <f t="shared" si="481"/>
        <v>8.7117865347234494E-2</v>
      </c>
      <c r="T44" s="29">
        <f t="shared" si="481"/>
        <v>-6.2088190572731884E-2</v>
      </c>
      <c r="U44" s="36">
        <v>0.03</v>
      </c>
      <c r="V44" s="29">
        <f t="shared" si="481"/>
        <v>1.5757504197038957E-2</v>
      </c>
      <c r="W44" s="36">
        <v>0.03</v>
      </c>
      <c r="X44" s="36">
        <f>W44</f>
        <v>0.03</v>
      </c>
      <c r="Y44" s="36">
        <f>X44</f>
        <v>0.03</v>
      </c>
      <c r="Z44" s="36">
        <f>Y44</f>
        <v>0.03</v>
      </c>
      <c r="AA44" s="29">
        <f t="shared" ref="AA44" si="482">IFERROR(AA43/AA41,"na")</f>
        <v>2.9999999999999995E-2</v>
      </c>
      <c r="AB44" s="36">
        <f t="shared" ref="AB44" si="483">Z44</f>
        <v>0.03</v>
      </c>
      <c r="AC44" s="36">
        <f t="shared" ref="AC44:AE44" si="484">AB44</f>
        <v>0.03</v>
      </c>
      <c r="AD44" s="36">
        <f t="shared" si="484"/>
        <v>0.03</v>
      </c>
      <c r="AE44" s="36">
        <f t="shared" si="484"/>
        <v>0.03</v>
      </c>
      <c r="AF44" s="29">
        <f t="shared" ref="AF44" si="485">IFERROR(AF43/AF41,"na")</f>
        <v>2.9999999999999995E-2</v>
      </c>
      <c r="AG44" s="36">
        <f t="shared" ref="AG44" si="486">AE44</f>
        <v>0.03</v>
      </c>
      <c r="AH44" s="36">
        <f t="shared" ref="AH44:AJ44" si="487">AG44</f>
        <v>0.03</v>
      </c>
      <c r="AI44" s="36">
        <f t="shared" si="487"/>
        <v>0.03</v>
      </c>
      <c r="AJ44" s="36">
        <f t="shared" si="487"/>
        <v>0.03</v>
      </c>
      <c r="AK44" s="29">
        <f t="shared" ref="AK44" si="488">IFERROR(AK43/AK41,"na")</f>
        <v>0.03</v>
      </c>
      <c r="AL44" s="36">
        <f t="shared" ref="AL44" si="489">AJ44</f>
        <v>0.03</v>
      </c>
      <c r="AM44" s="36">
        <f t="shared" ref="AM44:AO44" si="490">AL44</f>
        <v>0.03</v>
      </c>
      <c r="AN44" s="36">
        <f t="shared" si="490"/>
        <v>0.03</v>
      </c>
      <c r="AO44" s="36">
        <f t="shared" si="490"/>
        <v>0.03</v>
      </c>
      <c r="AP44" s="29">
        <f t="shared" ref="AP44" si="491">IFERROR(AP43/AP41,"na")</f>
        <v>2.9999999999999995E-2</v>
      </c>
      <c r="AQ44" s="36">
        <f t="shared" ref="AQ44" si="492">AO44</f>
        <v>0.03</v>
      </c>
      <c r="AR44" s="36">
        <f t="shared" ref="AR44:AT44" si="493">AQ44</f>
        <v>0.03</v>
      </c>
      <c r="AS44" s="36">
        <f t="shared" si="493"/>
        <v>0.03</v>
      </c>
      <c r="AT44" s="36">
        <f t="shared" si="493"/>
        <v>0.03</v>
      </c>
      <c r="AU44" s="29">
        <f t="shared" ref="AU44" si="494">IFERROR(AU43/AU41,"na")</f>
        <v>2.9999999999999995E-2</v>
      </c>
    </row>
    <row r="45" spans="1:47" s="8" customFormat="1" x14ac:dyDescent="0.25">
      <c r="A45" s="8" t="s">
        <v>68</v>
      </c>
      <c r="B45" s="8" t="s">
        <v>146</v>
      </c>
      <c r="C45" s="20">
        <f>C39+C40</f>
        <v>2264.1999999999994</v>
      </c>
      <c r="D45" s="20">
        <f t="shared" ref="D45:T45" si="495">D39+D40</f>
        <v>1933.3999999999999</v>
      </c>
      <c r="E45" s="20">
        <f t="shared" si="495"/>
        <v>1866.7000000000003</v>
      </c>
      <c r="F45" s="20">
        <f t="shared" si="495"/>
        <v>1528.7999999999997</v>
      </c>
      <c r="G45" s="20">
        <f t="shared" si="495"/>
        <v>7593.0999999999967</v>
      </c>
      <c r="H45" s="20">
        <f t="shared" si="495"/>
        <v>2721.5</v>
      </c>
      <c r="I45" s="20">
        <f t="shared" si="495"/>
        <v>2312.3000000000002</v>
      </c>
      <c r="J45" s="20">
        <f t="shared" si="495"/>
        <v>2026.0999999999988</v>
      </c>
      <c r="K45" s="20">
        <f t="shared" si="495"/>
        <v>1572.300000000002</v>
      </c>
      <c r="L45" s="20">
        <f t="shared" si="495"/>
        <v>8632.1999999999916</v>
      </c>
      <c r="M45" s="20">
        <f t="shared" si="495"/>
        <v>2265.1000000000013</v>
      </c>
      <c r="N45" s="20">
        <f t="shared" si="495"/>
        <v>2529.2000000000003</v>
      </c>
      <c r="O45" s="20">
        <f t="shared" si="495"/>
        <v>2391.3999999999983</v>
      </c>
      <c r="P45" s="20">
        <f t="shared" si="495"/>
        <v>2475.2000000000007</v>
      </c>
      <c r="Q45" s="20">
        <f t="shared" si="495"/>
        <v>9660.9000000000033</v>
      </c>
      <c r="R45" s="20">
        <f t="shared" si="495"/>
        <v>2407.8000000000015</v>
      </c>
      <c r="S45" s="20">
        <f t="shared" si="495"/>
        <v>2311.8000000000029</v>
      </c>
      <c r="T45" s="20">
        <f t="shared" si="495"/>
        <v>2195.5999999999985</v>
      </c>
      <c r="U45" s="20">
        <f>U39+U40</f>
        <v>2401.1362919014368</v>
      </c>
      <c r="V45" s="20">
        <f t="shared" ref="V45:AU45" si="496">V39+V40</f>
        <v>9316.336291901438</v>
      </c>
      <c r="W45" s="20">
        <f t="shared" si="496"/>
        <v>2696.5604423282994</v>
      </c>
      <c r="X45" s="20">
        <f t="shared" si="496"/>
        <v>2537.0923029487367</v>
      </c>
      <c r="Y45" s="20">
        <f t="shared" si="496"/>
        <v>2653.364221538337</v>
      </c>
      <c r="Z45" s="20">
        <f t="shared" si="496"/>
        <v>2559.8318009798277</v>
      </c>
      <c r="AA45" s="20">
        <f t="shared" si="496"/>
        <v>10446.848767795202</v>
      </c>
      <c r="AB45" s="20">
        <f t="shared" si="496"/>
        <v>2888.9381964957865</v>
      </c>
      <c r="AC45" s="20">
        <f t="shared" si="496"/>
        <v>2762.4511984944957</v>
      </c>
      <c r="AD45" s="20">
        <f t="shared" si="496"/>
        <v>2908.2710247373461</v>
      </c>
      <c r="AE45" s="20">
        <f t="shared" si="496"/>
        <v>2793.0510764900864</v>
      </c>
      <c r="AF45" s="20">
        <f t="shared" si="496"/>
        <v>11352.711496217717</v>
      </c>
      <c r="AG45" s="20">
        <f t="shared" si="496"/>
        <v>3079.8952821113162</v>
      </c>
      <c r="AH45" s="20">
        <f t="shared" si="496"/>
        <v>2947.7835516265668</v>
      </c>
      <c r="AI45" s="20">
        <f t="shared" si="496"/>
        <v>3104.3799138230065</v>
      </c>
      <c r="AJ45" s="20">
        <f t="shared" si="496"/>
        <v>2980.9369847045982</v>
      </c>
      <c r="AK45" s="20">
        <f t="shared" si="496"/>
        <v>12112.995732265483</v>
      </c>
      <c r="AL45" s="20">
        <f t="shared" si="496"/>
        <v>3289.4172844928685</v>
      </c>
      <c r="AM45" s="20">
        <f t="shared" si="496"/>
        <v>3148.2405333644538</v>
      </c>
      <c r="AN45" s="20">
        <f t="shared" si="496"/>
        <v>3315.6778205149949</v>
      </c>
      <c r="AO45" s="20">
        <f t="shared" si="496"/>
        <v>3184.4653416438209</v>
      </c>
      <c r="AP45" s="20">
        <f t="shared" si="496"/>
        <v>12937.800980016138</v>
      </c>
      <c r="AQ45" s="20">
        <f t="shared" si="496"/>
        <v>3514.3030157255321</v>
      </c>
      <c r="AR45" s="20">
        <f t="shared" si="496"/>
        <v>3363.2614509266832</v>
      </c>
      <c r="AS45" s="20">
        <f t="shared" si="496"/>
        <v>3542.3620805707174</v>
      </c>
      <c r="AT45" s="20">
        <f t="shared" si="496"/>
        <v>3402.9161968001513</v>
      </c>
      <c r="AU45" s="20">
        <f t="shared" si="496"/>
        <v>13822.842744023084</v>
      </c>
    </row>
    <row r="46" spans="1:47" s="21" customFormat="1" x14ac:dyDescent="0.25">
      <c r="A46" s="34" t="s">
        <v>152</v>
      </c>
      <c r="B46" s="35" t="s">
        <v>145</v>
      </c>
      <c r="C46" s="29">
        <f>IFERROR(C45/C9,"na")</f>
        <v>0.15408381310141137</v>
      </c>
      <c r="D46" s="29">
        <f t="shared" ref="D46:AU46" si="497">IFERROR(D45/D9,"na")</f>
        <v>0.14646303955880791</v>
      </c>
      <c r="E46" s="29">
        <f t="shared" si="497"/>
        <v>0.13940167876452492</v>
      </c>
      <c r="F46" s="29">
        <f t="shared" si="497"/>
        <v>0.12320586694604503</v>
      </c>
      <c r="G46" s="29">
        <f t="shared" si="497"/>
        <v>0.14141299388205489</v>
      </c>
      <c r="H46" s="29">
        <f t="shared" si="497"/>
        <v>0.1734135353676953</v>
      </c>
      <c r="I46" s="29">
        <f t="shared" si="497"/>
        <v>0.16310450877489985</v>
      </c>
      <c r="J46" s="29">
        <f t="shared" si="497"/>
        <v>0.15184172068797536</v>
      </c>
      <c r="K46" s="29">
        <f t="shared" si="497"/>
        <v>0.12137657385034636</v>
      </c>
      <c r="L46" s="29">
        <f t="shared" si="497"/>
        <v>0.15368564607186655</v>
      </c>
      <c r="M46" s="29">
        <f t="shared" si="497"/>
        <v>0.14815032833634206</v>
      </c>
      <c r="N46" s="29">
        <f t="shared" si="497"/>
        <v>0.16532123644492672</v>
      </c>
      <c r="O46" s="29">
        <f t="shared" si="497"/>
        <v>0.15499384276362682</v>
      </c>
      <c r="P46" s="29">
        <f t="shared" si="497"/>
        <v>0.16664534676262871</v>
      </c>
      <c r="Q46" s="29">
        <f t="shared" si="497"/>
        <v>0.15871365204534257</v>
      </c>
      <c r="R46" s="29">
        <f t="shared" si="497"/>
        <v>0.13128179404275744</v>
      </c>
      <c r="S46" s="29">
        <f t="shared" si="497"/>
        <v>0.131543608885652</v>
      </c>
      <c r="T46" s="29">
        <f t="shared" si="497"/>
        <v>0.1187902396797056</v>
      </c>
      <c r="U46" s="29">
        <f>IFERROR(U45/U9,"na")</f>
        <v>0.13534820382314253</v>
      </c>
      <c r="V46" s="29">
        <f t="shared" si="497"/>
        <v>0.1291450682371913</v>
      </c>
      <c r="W46" s="29">
        <f t="shared" si="497"/>
        <v>0.13749746310773475</v>
      </c>
      <c r="X46" s="29">
        <f t="shared" si="497"/>
        <v>0.13500697113751201</v>
      </c>
      <c r="Y46" s="29">
        <f t="shared" si="497"/>
        <v>0.13425325943032129</v>
      </c>
      <c r="Z46" s="29">
        <f t="shared" si="497"/>
        <v>0.13486923930238842</v>
      </c>
      <c r="AA46" s="29">
        <f t="shared" si="497"/>
        <v>0.1354131046217171</v>
      </c>
      <c r="AB46" s="29">
        <f t="shared" si="497"/>
        <v>0.13472667624791654</v>
      </c>
      <c r="AC46" s="29">
        <f t="shared" si="497"/>
        <v>0.13444521793758341</v>
      </c>
      <c r="AD46" s="29">
        <f t="shared" si="497"/>
        <v>0.1345840721550903</v>
      </c>
      <c r="AE46" s="29">
        <f t="shared" si="497"/>
        <v>0.13450182059753041</v>
      </c>
      <c r="AF46" s="29">
        <f t="shared" si="497"/>
        <v>0.13456625418152765</v>
      </c>
      <c r="AG46" s="29">
        <f t="shared" si="497"/>
        <v>0.13431286572825407</v>
      </c>
      <c r="AH46" s="29">
        <f t="shared" si="497"/>
        <v>0.1341567894028072</v>
      </c>
      <c r="AI46" s="29">
        <f t="shared" si="497"/>
        <v>0.13433833869725623</v>
      </c>
      <c r="AJ46" s="29">
        <f t="shared" si="497"/>
        <v>0.13420030093570498</v>
      </c>
      <c r="AK46" s="29">
        <f t="shared" si="497"/>
        <v>0.13425366769551578</v>
      </c>
      <c r="AL46" s="29">
        <f t="shared" si="497"/>
        <v>0.1341196870791953</v>
      </c>
      <c r="AM46" s="29">
        <f t="shared" si="497"/>
        <v>0.13396053328097135</v>
      </c>
      <c r="AN46" s="29">
        <f t="shared" si="497"/>
        <v>0.13414958366435767</v>
      </c>
      <c r="AO46" s="29">
        <f t="shared" si="497"/>
        <v>0.13400319334716521</v>
      </c>
      <c r="AP46" s="29">
        <f t="shared" si="497"/>
        <v>0.13405990163537362</v>
      </c>
      <c r="AQ46" s="29">
        <f t="shared" si="497"/>
        <v>0.13394634113504528</v>
      </c>
      <c r="AR46" s="29">
        <f t="shared" si="497"/>
        <v>0.13377891814607992</v>
      </c>
      <c r="AS46" s="29">
        <f t="shared" si="497"/>
        <v>0.13397631971444704</v>
      </c>
      <c r="AT46" s="29">
        <f t="shared" si="497"/>
        <v>0.13382429538806229</v>
      </c>
      <c r="AU46" s="29">
        <f t="shared" si="497"/>
        <v>0.13388319209525068</v>
      </c>
    </row>
    <row r="47" spans="1:47" x14ac:dyDescent="0.25">
      <c r="A47" s="9" t="s">
        <v>288</v>
      </c>
      <c r="B47" s="9" t="s">
        <v>146</v>
      </c>
      <c r="C47" s="12">
        <v>-8.9</v>
      </c>
      <c r="D47" s="12">
        <v>-16.399999999999999</v>
      </c>
      <c r="E47" s="12">
        <v>-9.5</v>
      </c>
      <c r="F47" s="12">
        <v>-2.8</v>
      </c>
      <c r="G47" s="10">
        <f t="shared" ref="G47" si="498">C47+D47+E47+F47</f>
        <v>-37.599999999999994</v>
      </c>
      <c r="H47" s="12">
        <v>-21.6</v>
      </c>
      <c r="I47" s="12">
        <v>-5.6</v>
      </c>
      <c r="J47" s="12">
        <v>-1.8</v>
      </c>
      <c r="K47" s="12">
        <v>-3.3</v>
      </c>
      <c r="L47" s="10">
        <f t="shared" ref="L47" si="499">H47+I47+J47+K47</f>
        <v>-32.300000000000004</v>
      </c>
      <c r="M47" s="12">
        <v>-0.2</v>
      </c>
      <c r="N47" s="12">
        <v>-10.1</v>
      </c>
      <c r="O47" s="12">
        <v>7</v>
      </c>
      <c r="P47" s="12">
        <v>-34.1</v>
      </c>
      <c r="Q47" s="10">
        <f t="shared" si="422"/>
        <v>-37.4</v>
      </c>
      <c r="R47" s="12">
        <v>-21.1</v>
      </c>
      <c r="S47" s="12">
        <v>4.5</v>
      </c>
      <c r="T47" s="12">
        <v>-0.9</v>
      </c>
      <c r="U47" s="10">
        <f>-IFERROR(U45*U48,"na")</f>
        <v>-9.1400199915585816</v>
      </c>
      <c r="V47" s="10">
        <f t="shared" ref="V47" si="500">R47+S47+T47+U47</f>
        <v>-26.640019991558582</v>
      </c>
      <c r="W47" s="10">
        <f t="shared" ref="W47:Z47" si="501">-IFERROR(W45*W48,"na")</f>
        <v>-10.786241769313198</v>
      </c>
      <c r="X47" s="10">
        <f t="shared" si="501"/>
        <v>-10.148369211794947</v>
      </c>
      <c r="Y47" s="10">
        <f t="shared" si="501"/>
        <v>-10.613456886153347</v>
      </c>
      <c r="Z47" s="10">
        <f t="shared" si="501"/>
        <v>-10.239327203919311</v>
      </c>
      <c r="AA47" s="10">
        <f t="shared" ref="AA47" si="502">W47+X47+Y47+Z47</f>
        <v>-41.787395071180804</v>
      </c>
      <c r="AB47" s="10">
        <f t="shared" ref="AB47" si="503">-IFERROR(AB45*AB48,"na")</f>
        <v>-11.555752785983147</v>
      </c>
      <c r="AC47" s="10">
        <f t="shared" ref="AC47" si="504">-IFERROR(AC45*AC48,"na")</f>
        <v>-11.049804793977982</v>
      </c>
      <c r="AD47" s="10">
        <f t="shared" ref="AD47" si="505">-IFERROR(AD45*AD48,"na")</f>
        <v>-11.633084098949384</v>
      </c>
      <c r="AE47" s="10">
        <f t="shared" ref="AE47" si="506">-IFERROR(AE45*AE48,"na")</f>
        <v>-11.172204305960346</v>
      </c>
      <c r="AF47" s="10">
        <f t="shared" ref="AF47" si="507">AB47+AC47+AD47+AE47</f>
        <v>-45.410845984870861</v>
      </c>
      <c r="AG47" s="10">
        <f t="shared" ref="AG47" si="508">-IFERROR(AG45*AG48,"na")</f>
        <v>-12.319581128445265</v>
      </c>
      <c r="AH47" s="10">
        <f t="shared" ref="AH47" si="509">-IFERROR(AH45*AH48,"na")</f>
        <v>-11.791134206506268</v>
      </c>
      <c r="AI47" s="10">
        <f t="shared" ref="AI47" si="510">-IFERROR(AI45*AI48,"na")</f>
        <v>-12.417519655292026</v>
      </c>
      <c r="AJ47" s="10">
        <f t="shared" ref="AJ47" si="511">-IFERROR(AJ45*AJ48,"na")</f>
        <v>-11.923747938818392</v>
      </c>
      <c r="AK47" s="10">
        <f t="shared" ref="AK47" si="512">AG47+AH47+AI47+AJ47</f>
        <v>-48.451982929061955</v>
      </c>
      <c r="AL47" s="10">
        <f t="shared" ref="AL47" si="513">-IFERROR(AL45*AL48,"na")</f>
        <v>-13.157669137971475</v>
      </c>
      <c r="AM47" s="10">
        <f t="shared" ref="AM47" si="514">-IFERROR(AM45*AM48,"na")</f>
        <v>-12.592962133457815</v>
      </c>
      <c r="AN47" s="10">
        <f t="shared" ref="AN47" si="515">-IFERROR(AN45*AN48,"na")</f>
        <v>-13.26271128205998</v>
      </c>
      <c r="AO47" s="10">
        <f t="shared" ref="AO47" si="516">-IFERROR(AO45*AO48,"na")</f>
        <v>-12.737861366575284</v>
      </c>
      <c r="AP47" s="10">
        <f t="shared" ref="AP47" si="517">AL47+AM47+AN47+AO47</f>
        <v>-51.751203920064555</v>
      </c>
      <c r="AQ47" s="10">
        <f t="shared" ref="AQ47" si="518">-IFERROR(AQ45*AQ48,"na")</f>
        <v>-14.057212062902128</v>
      </c>
      <c r="AR47" s="10">
        <f t="shared" ref="AR47" si="519">-IFERROR(AR45*AR48,"na")</f>
        <v>-13.453045803706733</v>
      </c>
      <c r="AS47" s="10">
        <f t="shared" ref="AS47" si="520">-IFERROR(AS45*AS48,"na")</f>
        <v>-14.16944832228287</v>
      </c>
      <c r="AT47" s="10">
        <f t="shared" ref="AT47" si="521">-IFERROR(AT45*AT48,"na")</f>
        <v>-13.611664787200606</v>
      </c>
      <c r="AU47" s="10">
        <f t="shared" ref="AU47" si="522">AQ47+AR47+AS47+AT47</f>
        <v>-55.291370976092338</v>
      </c>
    </row>
    <row r="48" spans="1:47" s="35" customFormat="1" x14ac:dyDescent="0.25">
      <c r="A48" s="34" t="s">
        <v>163</v>
      </c>
      <c r="B48" s="35" t="s">
        <v>145</v>
      </c>
      <c r="C48" s="29">
        <f>-IFERROR(C47/C45,"na")</f>
        <v>3.9307481671230467E-3</v>
      </c>
      <c r="D48" s="29">
        <f t="shared" ref="D48:V48" si="523">-IFERROR(D47/D45,"na")</f>
        <v>8.4824661218578668E-3</v>
      </c>
      <c r="E48" s="29">
        <f t="shared" si="523"/>
        <v>5.089194835806503E-3</v>
      </c>
      <c r="F48" s="29">
        <f t="shared" si="523"/>
        <v>1.8315018315018317E-3</v>
      </c>
      <c r="G48" s="29">
        <f t="shared" si="523"/>
        <v>4.9518641924905524E-3</v>
      </c>
      <c r="H48" s="29">
        <f t="shared" si="523"/>
        <v>7.9367995590666918E-3</v>
      </c>
      <c r="I48" s="29">
        <f t="shared" si="523"/>
        <v>2.4218310772823591E-3</v>
      </c>
      <c r="J48" s="29">
        <f t="shared" si="523"/>
        <v>8.8840629781353393E-4</v>
      </c>
      <c r="K48" s="29">
        <f t="shared" si="523"/>
        <v>2.098836099980917E-3</v>
      </c>
      <c r="L48" s="29">
        <f t="shared" si="523"/>
        <v>3.7418039433748103E-3</v>
      </c>
      <c r="M48" s="29">
        <f t="shared" si="523"/>
        <v>8.8296322458169578E-5</v>
      </c>
      <c r="N48" s="29">
        <f t="shared" si="523"/>
        <v>3.9933575834255886E-3</v>
      </c>
      <c r="O48" s="29">
        <f t="shared" si="523"/>
        <v>-2.9271556410470877E-3</v>
      </c>
      <c r="P48" s="29">
        <f t="shared" si="523"/>
        <v>1.3776664511958626E-2</v>
      </c>
      <c r="Q48" s="29">
        <f t="shared" si="523"/>
        <v>3.8712749329772576E-3</v>
      </c>
      <c r="R48" s="29">
        <f t="shared" si="523"/>
        <v>8.7631863111554062E-3</v>
      </c>
      <c r="S48" s="29">
        <f t="shared" si="523"/>
        <v>-1.946535167402022E-3</v>
      </c>
      <c r="T48" s="29">
        <f t="shared" si="523"/>
        <v>4.099107305520134E-4</v>
      </c>
      <c r="U48" s="36">
        <f>AVERAGE(L48,Q48)</f>
        <v>3.8065394381760339E-3</v>
      </c>
      <c r="V48" s="29">
        <f t="shared" si="523"/>
        <v>2.8594953162775351E-3</v>
      </c>
      <c r="W48" s="36">
        <v>4.0000000000000001E-3</v>
      </c>
      <c r="X48" s="36">
        <f>W48</f>
        <v>4.0000000000000001E-3</v>
      </c>
      <c r="Y48" s="36">
        <f>X48</f>
        <v>4.0000000000000001E-3</v>
      </c>
      <c r="Z48" s="36">
        <f>Y48</f>
        <v>4.0000000000000001E-3</v>
      </c>
      <c r="AA48" s="29">
        <f t="shared" ref="AA48" si="524">-IFERROR(AA47/AA45,"na")</f>
        <v>4.0000000000000001E-3</v>
      </c>
      <c r="AB48" s="36">
        <f t="shared" ref="AB48" si="525">Z48</f>
        <v>4.0000000000000001E-3</v>
      </c>
      <c r="AC48" s="36">
        <f t="shared" ref="AC48:AE48" si="526">AB48</f>
        <v>4.0000000000000001E-3</v>
      </c>
      <c r="AD48" s="36">
        <f t="shared" si="526"/>
        <v>4.0000000000000001E-3</v>
      </c>
      <c r="AE48" s="36">
        <f t="shared" si="526"/>
        <v>4.0000000000000001E-3</v>
      </c>
      <c r="AF48" s="29">
        <f t="shared" ref="AF48" si="527">-IFERROR(AF47/AF45,"na")</f>
        <v>3.9999999999999992E-3</v>
      </c>
      <c r="AG48" s="36">
        <f t="shared" ref="AG48" si="528">AE48</f>
        <v>4.0000000000000001E-3</v>
      </c>
      <c r="AH48" s="36">
        <f t="shared" ref="AH48:AJ48" si="529">AG48</f>
        <v>4.0000000000000001E-3</v>
      </c>
      <c r="AI48" s="36">
        <f t="shared" si="529"/>
        <v>4.0000000000000001E-3</v>
      </c>
      <c r="AJ48" s="36">
        <f t="shared" si="529"/>
        <v>4.0000000000000001E-3</v>
      </c>
      <c r="AK48" s="29">
        <f t="shared" ref="AK48" si="530">-IFERROR(AK47/AK45,"na")</f>
        <v>4.0000000000000018E-3</v>
      </c>
      <c r="AL48" s="36">
        <f t="shared" ref="AL48" si="531">AJ48</f>
        <v>4.0000000000000001E-3</v>
      </c>
      <c r="AM48" s="36">
        <f t="shared" ref="AM48:AO48" si="532">AL48</f>
        <v>4.0000000000000001E-3</v>
      </c>
      <c r="AN48" s="36">
        <f t="shared" si="532"/>
        <v>4.0000000000000001E-3</v>
      </c>
      <c r="AO48" s="36">
        <f t="shared" si="532"/>
        <v>4.0000000000000001E-3</v>
      </c>
      <c r="AP48" s="29">
        <f t="shared" ref="AP48" si="533">-IFERROR(AP47/AP45,"na")</f>
        <v>4.0000000000000001E-3</v>
      </c>
      <c r="AQ48" s="36">
        <f t="shared" ref="AQ48" si="534">AO48</f>
        <v>4.0000000000000001E-3</v>
      </c>
      <c r="AR48" s="36">
        <f t="shared" ref="AR48:AT48" si="535">AQ48</f>
        <v>4.0000000000000001E-3</v>
      </c>
      <c r="AS48" s="36">
        <f t="shared" si="535"/>
        <v>4.0000000000000001E-3</v>
      </c>
      <c r="AT48" s="36">
        <f t="shared" si="535"/>
        <v>4.0000000000000001E-3</v>
      </c>
      <c r="AU48" s="29">
        <f t="shared" ref="AU48" si="536">-IFERROR(AU47/AU45,"na")</f>
        <v>4.0000000000000001E-3</v>
      </c>
    </row>
    <row r="49" spans="1:47" x14ac:dyDescent="0.25">
      <c r="A49" s="9" t="s">
        <v>75</v>
      </c>
      <c r="B49" s="9" t="s">
        <v>146</v>
      </c>
      <c r="C49" s="10">
        <f>C45+C47</f>
        <v>2255.2999999999993</v>
      </c>
      <c r="D49" s="10">
        <f>D45+D47</f>
        <v>1916.9999999999998</v>
      </c>
      <c r="E49" s="10">
        <f t="shared" ref="E49:T49" si="537">E45+E47</f>
        <v>1857.2000000000003</v>
      </c>
      <c r="F49" s="10">
        <f t="shared" si="537"/>
        <v>1525.9999999999998</v>
      </c>
      <c r="G49" s="10">
        <f t="shared" si="537"/>
        <v>7555.4999999999964</v>
      </c>
      <c r="H49" s="10">
        <f t="shared" si="537"/>
        <v>2699.9</v>
      </c>
      <c r="I49" s="10">
        <f t="shared" si="537"/>
        <v>2306.7000000000003</v>
      </c>
      <c r="J49" s="10">
        <f t="shared" si="537"/>
        <v>2024.2999999999988</v>
      </c>
      <c r="K49" s="10">
        <f t="shared" si="537"/>
        <v>1569.000000000002</v>
      </c>
      <c r="L49" s="10">
        <f t="shared" si="537"/>
        <v>8599.8999999999924</v>
      </c>
      <c r="M49" s="10">
        <f t="shared" si="537"/>
        <v>2264.9000000000015</v>
      </c>
      <c r="N49" s="10">
        <f t="shared" si="537"/>
        <v>2519.1000000000004</v>
      </c>
      <c r="O49" s="10">
        <f t="shared" si="537"/>
        <v>2398.3999999999983</v>
      </c>
      <c r="P49" s="10">
        <f t="shared" si="537"/>
        <v>2441.1000000000008</v>
      </c>
      <c r="Q49" s="10">
        <f t="shared" si="537"/>
        <v>9623.5000000000036</v>
      </c>
      <c r="R49" s="10">
        <f t="shared" si="537"/>
        <v>2386.7000000000016</v>
      </c>
      <c r="S49" s="10">
        <f t="shared" si="537"/>
        <v>2316.3000000000029</v>
      </c>
      <c r="T49" s="10">
        <f t="shared" si="537"/>
        <v>2194.6999999999985</v>
      </c>
      <c r="U49" s="10">
        <f t="shared" ref="U49:AU49" si="538">U45+U47</f>
        <v>2391.996271909878</v>
      </c>
      <c r="V49" s="10">
        <f t="shared" si="538"/>
        <v>9289.6962719098792</v>
      </c>
      <c r="W49" s="10">
        <f t="shared" si="538"/>
        <v>2685.7742005589862</v>
      </c>
      <c r="X49" s="10">
        <f t="shared" si="538"/>
        <v>2526.9439337369417</v>
      </c>
      <c r="Y49" s="10">
        <f t="shared" si="538"/>
        <v>2642.7507646521835</v>
      </c>
      <c r="Z49" s="10">
        <f t="shared" si="538"/>
        <v>2549.5924737759083</v>
      </c>
      <c r="AA49" s="10">
        <f t="shared" si="538"/>
        <v>10405.061372724022</v>
      </c>
      <c r="AB49" s="10">
        <f t="shared" si="538"/>
        <v>2877.3824437098033</v>
      </c>
      <c r="AC49" s="10">
        <f t="shared" si="538"/>
        <v>2751.4013937005175</v>
      </c>
      <c r="AD49" s="10">
        <f t="shared" si="538"/>
        <v>2896.6379406383967</v>
      </c>
      <c r="AE49" s="10">
        <f t="shared" si="538"/>
        <v>2781.8788721841261</v>
      </c>
      <c r="AF49" s="10">
        <f t="shared" si="538"/>
        <v>11307.300650232846</v>
      </c>
      <c r="AG49" s="10">
        <f t="shared" si="538"/>
        <v>3067.5757009828708</v>
      </c>
      <c r="AH49" s="10">
        <f t="shared" si="538"/>
        <v>2935.9924174200605</v>
      </c>
      <c r="AI49" s="10">
        <f t="shared" si="538"/>
        <v>3091.9623941677146</v>
      </c>
      <c r="AJ49" s="10">
        <f t="shared" si="538"/>
        <v>2969.0132367657798</v>
      </c>
      <c r="AK49" s="10">
        <f t="shared" si="538"/>
        <v>12064.543749336421</v>
      </c>
      <c r="AL49" s="10">
        <f t="shared" si="538"/>
        <v>3276.2596153548971</v>
      </c>
      <c r="AM49" s="10">
        <f t="shared" si="538"/>
        <v>3135.6475712309962</v>
      </c>
      <c r="AN49" s="10">
        <f t="shared" si="538"/>
        <v>3302.4151092329348</v>
      </c>
      <c r="AO49" s="10">
        <f t="shared" si="538"/>
        <v>3171.7274802772458</v>
      </c>
      <c r="AP49" s="10">
        <f t="shared" si="538"/>
        <v>12886.049776096073</v>
      </c>
      <c r="AQ49" s="10">
        <f t="shared" si="538"/>
        <v>3500.2458036626299</v>
      </c>
      <c r="AR49" s="10">
        <f t="shared" si="538"/>
        <v>3349.8084051229766</v>
      </c>
      <c r="AS49" s="10">
        <f t="shared" si="538"/>
        <v>3528.1926322484346</v>
      </c>
      <c r="AT49" s="10">
        <f t="shared" si="538"/>
        <v>3389.3045320129509</v>
      </c>
      <c r="AU49" s="10">
        <f t="shared" si="538"/>
        <v>13767.551373046992</v>
      </c>
    </row>
    <row r="50" spans="1:47" s="21" customFormat="1" x14ac:dyDescent="0.25">
      <c r="A50" s="34" t="s">
        <v>144</v>
      </c>
      <c r="B50" s="35" t="s">
        <v>145</v>
      </c>
      <c r="C50" s="28" t="s">
        <v>147</v>
      </c>
      <c r="D50" s="28" t="s">
        <v>147</v>
      </c>
      <c r="E50" s="28" t="s">
        <v>147</v>
      </c>
      <c r="F50" s="28" t="s">
        <v>147</v>
      </c>
      <c r="G50" s="28" t="s">
        <v>147</v>
      </c>
      <c r="H50" s="29">
        <f>IFERROR(H49/C49-1,"na")</f>
        <v>0.19713563605728779</v>
      </c>
      <c r="I50" s="29">
        <f t="shared" ref="I50" si="539">IFERROR(I49/D49-1,"na")</f>
        <v>0.20328638497652607</v>
      </c>
      <c r="J50" s="29">
        <f t="shared" ref="J50" si="540">IFERROR(J49/E49-1,"na")</f>
        <v>8.9974154641394799E-2</v>
      </c>
      <c r="K50" s="29">
        <f t="shared" ref="K50" si="541">IFERROR(K49/F49-1,"na")</f>
        <v>2.8178243774575451E-2</v>
      </c>
      <c r="L50" s="29">
        <f t="shared" ref="L50" si="542">IFERROR(L49/G49-1,"na")</f>
        <v>0.13823042816491249</v>
      </c>
      <c r="M50" s="29">
        <f t="shared" ref="M50" si="543">IFERROR(M49/H49-1,"na")</f>
        <v>-0.16111707841031098</v>
      </c>
      <c r="N50" s="29">
        <f t="shared" ref="N50" si="544">IFERROR(N49/I49-1,"na")</f>
        <v>9.2079594225517036E-2</v>
      </c>
      <c r="O50" s="29">
        <f t="shared" ref="O50" si="545">IFERROR(O49/J49-1,"na")</f>
        <v>0.18480462382057983</v>
      </c>
      <c r="P50" s="29">
        <f t="shared" ref="P50" si="546">IFERROR(P49/K49-1,"na")</f>
        <v>0.55583173996175761</v>
      </c>
      <c r="Q50" s="29">
        <f t="shared" ref="Q50" si="547">IFERROR(Q49/L49-1,"na")</f>
        <v>0.11902463982139477</v>
      </c>
      <c r="R50" s="29">
        <f t="shared" ref="R50" si="548">IFERROR(R49/M49-1,"na")</f>
        <v>5.3777208706786261E-2</v>
      </c>
      <c r="S50" s="29">
        <f t="shared" ref="S50" si="549">IFERROR(S49/N49-1,"na")</f>
        <v>-8.0504942241275579E-2</v>
      </c>
      <c r="T50" s="29">
        <f t="shared" ref="T50" si="550">IFERROR(T49/O49-1,"na")</f>
        <v>-8.4931621080720499E-2</v>
      </c>
      <c r="U50" s="29">
        <f t="shared" ref="U50" si="551">IFERROR(U49/P49-1,"na")</f>
        <v>-2.0115410302782633E-2</v>
      </c>
      <c r="V50" s="29">
        <f t="shared" ref="V50" si="552">IFERROR(V49/Q49-1,"na")</f>
        <v>-3.4686312473645176E-2</v>
      </c>
      <c r="W50" s="29">
        <f t="shared" ref="W50" si="553">IFERROR(W49/R49-1,"na")</f>
        <v>0.12530866910754779</v>
      </c>
      <c r="X50" s="29">
        <f t="shared" ref="X50" si="554">IFERROR(X49/S49-1,"na")</f>
        <v>9.0939832377903818E-2</v>
      </c>
      <c r="Y50" s="29">
        <f t="shared" ref="Y50" si="555">IFERROR(Y49/T49-1,"na")</f>
        <v>0.20415125741658779</v>
      </c>
      <c r="Z50" s="29">
        <f t="shared" ref="Z50" si="556">IFERROR(Z49/U49-1,"na")</f>
        <v>6.5884802462588432E-2</v>
      </c>
      <c r="AA50" s="29">
        <f t="shared" ref="AA50" si="557">IFERROR(AA49/V49-1,"na")</f>
        <v>0.12006475434366748</v>
      </c>
      <c r="AB50" s="29">
        <f t="shared" ref="AB50" si="558">IFERROR(AB49/W49-1,"na")</f>
        <v>7.1341903243741678E-2</v>
      </c>
      <c r="AC50" s="29">
        <f t="shared" ref="AC50" si="559">IFERROR(AC49/X49-1,"na")</f>
        <v>8.8825658918217254E-2</v>
      </c>
      <c r="AD50" s="29">
        <f t="shared" ref="AD50" si="560">IFERROR(AD49/Y49-1,"na")</f>
        <v>9.6069284845946346E-2</v>
      </c>
      <c r="AE50" s="29">
        <f t="shared" ref="AE50" si="561">IFERROR(AE49/Z49-1,"na")</f>
        <v>9.110726549337711E-2</v>
      </c>
      <c r="AF50" s="29">
        <f t="shared" ref="AF50" si="562">IFERROR(AF49/AA49-1,"na")</f>
        <v>8.6711576721110628E-2</v>
      </c>
      <c r="AG50" s="29">
        <f t="shared" ref="AG50" si="563">IFERROR(AG49/AB49-1,"na")</f>
        <v>6.6099401450386175E-2</v>
      </c>
      <c r="AH50" s="29">
        <f t="shared" ref="AH50" si="564">IFERROR(AH49/AC49-1,"na")</f>
        <v>6.7089819806798845E-2</v>
      </c>
      <c r="AI50" s="29">
        <f t="shared" ref="AI50" si="565">IFERROR(AI49/AD49-1,"na")</f>
        <v>6.7431435178353594E-2</v>
      </c>
      <c r="AJ50" s="29">
        <f t="shared" ref="AJ50" si="566">IFERROR(AJ49/AE49-1,"na")</f>
        <v>6.7269055620214457E-2</v>
      </c>
      <c r="AK50" s="29">
        <f t="shared" ref="AK50" si="567">IFERROR(AK49/AF49-1,"na")</f>
        <v>6.6969396368529388E-2</v>
      </c>
      <c r="AL50" s="29">
        <f t="shared" ref="AL50" si="568">IFERROR(AL49/AG49-1,"na")</f>
        <v>6.8028937087082353E-2</v>
      </c>
      <c r="AM50" s="29">
        <f t="shared" ref="AM50" si="569">IFERROR(AM49/AH49-1,"na")</f>
        <v>6.8002612209189017E-2</v>
      </c>
      <c r="AN50" s="29">
        <f t="shared" ref="AN50" si="570">IFERROR(AN49/AI49-1,"na")</f>
        <v>6.8064448475243955E-2</v>
      </c>
      <c r="AO50" s="29">
        <f t="shared" ref="AO50" si="571">IFERROR(AO49/AJ49-1,"na")</f>
        <v>6.8276638514514598E-2</v>
      </c>
      <c r="AP50" s="29">
        <f t="shared" ref="AP50" si="572">IFERROR(AP49/AK49-1,"na")</f>
        <v>6.8092589643502954E-2</v>
      </c>
      <c r="AQ50" s="29">
        <f t="shared" ref="AQ50" si="573">IFERROR(AQ49/AL49-1,"na")</f>
        <v>6.836643447240065E-2</v>
      </c>
      <c r="AR50" s="29">
        <f t="shared" ref="AR50" si="574">IFERROR(AR49/AM49-1,"na")</f>
        <v>6.829875776119354E-2</v>
      </c>
      <c r="AS50" s="29">
        <f t="shared" ref="AS50" si="575">IFERROR(AS49/AN49-1,"na")</f>
        <v>6.8367396450030871E-2</v>
      </c>
      <c r="AT50" s="29">
        <f t="shared" ref="AT50" si="576">IFERROR(AT49/AO49-1,"na")</f>
        <v>6.859891118914363E-2</v>
      </c>
      <c r="AU50" s="29">
        <f t="shared" ref="AU50" si="577">IFERROR(AU49/AP49-1,"na")</f>
        <v>6.8407433796051631E-2</v>
      </c>
    </row>
    <row r="51" spans="1:47" x14ac:dyDescent="0.25">
      <c r="D51" s="10"/>
    </row>
    <row r="52" spans="1:47" x14ac:dyDescent="0.25">
      <c r="A52" s="9" t="s">
        <v>129</v>
      </c>
      <c r="B52" s="9" t="s">
        <v>154</v>
      </c>
      <c r="C52" s="14">
        <v>512.70000000000005</v>
      </c>
      <c r="D52" s="14">
        <v>512.70000000000005</v>
      </c>
      <c r="E52" s="14">
        <v>512.70000000000005</v>
      </c>
      <c r="F52" s="14">
        <v>512.70000000000005</v>
      </c>
      <c r="G52" s="9">
        <f>F52</f>
        <v>512.70000000000005</v>
      </c>
      <c r="H52" s="14">
        <v>512.70000000000005</v>
      </c>
      <c r="I52" s="14">
        <v>512.70000000000005</v>
      </c>
      <c r="J52" s="14">
        <v>512.70000000000005</v>
      </c>
      <c r="K52" s="14">
        <v>512.70000000000005</v>
      </c>
      <c r="L52" s="9">
        <f>K52</f>
        <v>512.70000000000005</v>
      </c>
      <c r="M52" s="14">
        <v>512.70000000000005</v>
      </c>
      <c r="N52" s="14">
        <v>512.79999999999995</v>
      </c>
      <c r="O52" s="14">
        <v>512.79999999999995</v>
      </c>
      <c r="P52" s="14">
        <v>507.8</v>
      </c>
      <c r="Q52" s="9">
        <f>P52</f>
        <v>507.8</v>
      </c>
      <c r="R52" s="14">
        <v>507.8</v>
      </c>
      <c r="S52" s="14">
        <v>507.9</v>
      </c>
      <c r="T52" s="15">
        <v>508</v>
      </c>
      <c r="U52" s="16">
        <f>T52+V183</f>
        <v>508</v>
      </c>
      <c r="V52" s="10">
        <f>U52</f>
        <v>508</v>
      </c>
      <c r="W52" s="16">
        <f>U52+AA183</f>
        <v>508</v>
      </c>
      <c r="X52" s="16">
        <f>W52+AA183</f>
        <v>508</v>
      </c>
      <c r="Y52" s="16">
        <f>X52+AA183</f>
        <v>508</v>
      </c>
      <c r="Z52" s="16">
        <f>Y52+AA183</f>
        <v>508</v>
      </c>
      <c r="AA52" s="10">
        <f>Z52</f>
        <v>508</v>
      </c>
      <c r="AB52" s="16">
        <f>Z52+AF183</f>
        <v>508</v>
      </c>
      <c r="AC52" s="16">
        <f>AB52+AF183</f>
        <v>508</v>
      </c>
      <c r="AD52" s="16">
        <f>AC52+AF183</f>
        <v>508</v>
      </c>
      <c r="AE52" s="16">
        <f>AD52+AF183</f>
        <v>508</v>
      </c>
      <c r="AF52" s="10">
        <f t="shared" ref="AF52" si="578">AE52</f>
        <v>508</v>
      </c>
      <c r="AG52" s="16">
        <f>AE52+AK183</f>
        <v>508</v>
      </c>
      <c r="AH52" s="16">
        <f>AG52+AK183</f>
        <v>508</v>
      </c>
      <c r="AI52" s="16">
        <f>AH52+AK183</f>
        <v>508</v>
      </c>
      <c r="AJ52" s="16">
        <f>AI52+AK183</f>
        <v>508</v>
      </c>
      <c r="AK52" s="10">
        <f t="shared" ref="AK52" si="579">AJ52</f>
        <v>508</v>
      </c>
      <c r="AL52" s="16">
        <f>AJ52+AP183</f>
        <v>508</v>
      </c>
      <c r="AM52" s="16">
        <f>AL52+AP183</f>
        <v>508</v>
      </c>
      <c r="AN52" s="16">
        <f>AM52+AP183</f>
        <v>508</v>
      </c>
      <c r="AO52" s="16">
        <f>AN52+AP183</f>
        <v>508</v>
      </c>
      <c r="AP52" s="10">
        <f t="shared" ref="AP52" si="580">AO52</f>
        <v>508</v>
      </c>
      <c r="AQ52" s="16">
        <f>AO52+AU183</f>
        <v>508</v>
      </c>
      <c r="AR52" s="16">
        <f>AQ52+AU183</f>
        <v>508</v>
      </c>
      <c r="AS52" s="16">
        <f>AR52+AU183</f>
        <v>508</v>
      </c>
      <c r="AT52" s="16">
        <f>AS52+AU183</f>
        <v>508</v>
      </c>
      <c r="AU52" s="10">
        <f t="shared" ref="AU52" si="581">AT52</f>
        <v>508</v>
      </c>
    </row>
    <row r="53" spans="1:47" x14ac:dyDescent="0.25">
      <c r="A53" s="9" t="s">
        <v>132</v>
      </c>
      <c r="B53" s="9" t="s">
        <v>154</v>
      </c>
      <c r="C53" s="16">
        <f>C52+C55-C54</f>
        <v>512.70000000000005</v>
      </c>
      <c r="D53" s="16">
        <f t="shared" ref="D53:T53" si="582">D52+D55-D54</f>
        <v>512.70000000000005</v>
      </c>
      <c r="E53" s="16">
        <f t="shared" si="582"/>
        <v>512.70000000000005</v>
      </c>
      <c r="F53" s="16">
        <f t="shared" si="582"/>
        <v>512.70000000000005</v>
      </c>
      <c r="G53" s="16">
        <f t="shared" si="582"/>
        <v>512.70000000000005</v>
      </c>
      <c r="H53" s="16">
        <f t="shared" si="582"/>
        <v>513.28897338403044</v>
      </c>
      <c r="I53" s="16">
        <f t="shared" si="582"/>
        <v>512.70000000000005</v>
      </c>
      <c r="J53" s="16">
        <f t="shared" si="582"/>
        <v>512.70000000000005</v>
      </c>
      <c r="K53" s="16">
        <f t="shared" si="582"/>
        <v>512.70000000000005</v>
      </c>
      <c r="L53" s="16">
        <f t="shared" si="582"/>
        <v>512.84724334600776</v>
      </c>
      <c r="M53" s="16">
        <f t="shared" si="582"/>
        <v>512.70000000000005</v>
      </c>
      <c r="N53" s="16">
        <f t="shared" si="582"/>
        <v>512.79999999999995</v>
      </c>
      <c r="O53" s="16">
        <f t="shared" si="582"/>
        <v>512.79999999999995</v>
      </c>
      <c r="P53" s="16">
        <f t="shared" si="582"/>
        <v>507.8</v>
      </c>
      <c r="Q53" s="16">
        <f t="shared" si="582"/>
        <v>507.80000000000007</v>
      </c>
      <c r="R53" s="16">
        <f t="shared" si="582"/>
        <v>507.8</v>
      </c>
      <c r="S53" s="16">
        <f t="shared" si="582"/>
        <v>507.9</v>
      </c>
      <c r="T53" s="16">
        <f t="shared" si="582"/>
        <v>508</v>
      </c>
      <c r="U53" s="16">
        <f>T53+V183</f>
        <v>508</v>
      </c>
      <c r="V53" s="10">
        <f t="shared" ref="V53" si="583">V52+V55-V54</f>
        <v>507.99999999999994</v>
      </c>
      <c r="W53" s="16">
        <f>U53+AA183</f>
        <v>508</v>
      </c>
      <c r="X53" s="16">
        <f>W53+AA183</f>
        <v>508</v>
      </c>
      <c r="Y53" s="16">
        <f>X53+AA183</f>
        <v>508</v>
      </c>
      <c r="Z53" s="16">
        <f>Y53+AA183</f>
        <v>508</v>
      </c>
      <c r="AA53" s="10">
        <f t="shared" ref="AA53" si="584">AA52+AA55-AA54</f>
        <v>508</v>
      </c>
      <c r="AB53" s="16">
        <f>Z53+AF183</f>
        <v>508</v>
      </c>
      <c r="AC53" s="16">
        <f>AB53+AF183</f>
        <v>508</v>
      </c>
      <c r="AD53" s="16">
        <f>AC53+AF183</f>
        <v>508</v>
      </c>
      <c r="AE53" s="16">
        <f>AD53+AF183</f>
        <v>508</v>
      </c>
      <c r="AF53" s="10">
        <f t="shared" ref="AF53:AU53" si="585">AF52+AF55-AF54</f>
        <v>508</v>
      </c>
      <c r="AG53" s="16">
        <f>AE53+AK183</f>
        <v>508</v>
      </c>
      <c r="AH53" s="16">
        <f>AG53+AK183</f>
        <v>508</v>
      </c>
      <c r="AI53" s="16">
        <f>AH53+AK183</f>
        <v>508</v>
      </c>
      <c r="AJ53" s="16">
        <f>AI53+AK183</f>
        <v>508</v>
      </c>
      <c r="AK53" s="10">
        <f t="shared" si="585"/>
        <v>508</v>
      </c>
      <c r="AL53" s="16">
        <f>AJ53+AP183</f>
        <v>508</v>
      </c>
      <c r="AM53" s="16">
        <f>AL53+AP183</f>
        <v>508</v>
      </c>
      <c r="AN53" s="16">
        <f>AM53+AP183</f>
        <v>508</v>
      </c>
      <c r="AO53" s="16">
        <f>AN53+AP183</f>
        <v>508</v>
      </c>
      <c r="AP53" s="10">
        <f t="shared" si="585"/>
        <v>508</v>
      </c>
      <c r="AQ53" s="16">
        <f>AO53+AU183</f>
        <v>508</v>
      </c>
      <c r="AR53" s="16">
        <f>AQ53+AU183</f>
        <v>508</v>
      </c>
      <c r="AS53" s="16">
        <f>AR53+AU183</f>
        <v>508</v>
      </c>
      <c r="AT53" s="16">
        <f>AS53+AU183</f>
        <v>508</v>
      </c>
      <c r="AU53" s="10">
        <f t="shared" si="585"/>
        <v>508</v>
      </c>
    </row>
    <row r="54" spans="1:47" x14ac:dyDescent="0.25">
      <c r="A54" s="9" t="s">
        <v>69</v>
      </c>
      <c r="B54" s="9" t="s">
        <v>154</v>
      </c>
      <c r="C54" s="15">
        <v>512.70000000000005</v>
      </c>
      <c r="D54" s="14">
        <v>512.70000000000005</v>
      </c>
      <c r="E54" s="14">
        <v>512.70000000000005</v>
      </c>
      <c r="F54" s="14">
        <v>512.70000000000005</v>
      </c>
      <c r="G54" s="16">
        <f>AVERAGE(C54:F54)</f>
        <v>512.70000000000005</v>
      </c>
      <c r="H54" s="15">
        <v>512.70000000000005</v>
      </c>
      <c r="I54" s="14">
        <v>512.79999999999995</v>
      </c>
      <c r="J54" s="14">
        <v>512.70000000000005</v>
      </c>
      <c r="K54" s="14">
        <v>512.70000000000005</v>
      </c>
      <c r="L54" s="16">
        <f>AVERAGE(H54:K54)</f>
        <v>512.72500000000002</v>
      </c>
      <c r="M54" s="15">
        <v>512.70000000000005</v>
      </c>
      <c r="N54" s="14">
        <v>512.79999999999995</v>
      </c>
      <c r="O54" s="14">
        <v>512.79999999999995</v>
      </c>
      <c r="P54" s="14">
        <v>507.8</v>
      </c>
      <c r="Q54" s="16">
        <f>AVERAGE(M54:P54)</f>
        <v>511.52499999999998</v>
      </c>
      <c r="R54" s="15">
        <v>507.8</v>
      </c>
      <c r="S54" s="15">
        <v>507.9</v>
      </c>
      <c r="T54" s="15">
        <v>508</v>
      </c>
      <c r="U54" s="16">
        <f>AVERAGE(T52:U52)</f>
        <v>508</v>
      </c>
      <c r="V54" s="10">
        <f>AVERAGE(R54:U54)</f>
        <v>507.92500000000001</v>
      </c>
      <c r="W54" s="16">
        <f>AVERAGE(U52,W52)</f>
        <v>508</v>
      </c>
      <c r="X54" s="16">
        <f>AVERAGE(W52,X52)</f>
        <v>508</v>
      </c>
      <c r="Y54" s="16">
        <f>AVERAGE(X52,Y52)</f>
        <v>508</v>
      </c>
      <c r="Z54" s="16">
        <f>AVERAGE(Y52:Z52)</f>
        <v>508</v>
      </c>
      <c r="AA54" s="10">
        <f>AVERAGE(W54:Z54)</f>
        <v>508</v>
      </c>
      <c r="AB54" s="16">
        <f t="shared" ref="AB54:AB55" si="586">AVERAGE(Z52,AB52)</f>
        <v>508</v>
      </c>
      <c r="AC54" s="16">
        <f t="shared" ref="AC54:AD54" si="587">AVERAGE(AB52,AC52)</f>
        <v>508</v>
      </c>
      <c r="AD54" s="16">
        <f t="shared" si="587"/>
        <v>508</v>
      </c>
      <c r="AE54" s="16">
        <f t="shared" ref="AE54" si="588">AVERAGE(AD52:AE52)</f>
        <v>508</v>
      </c>
      <c r="AF54" s="10">
        <f t="shared" ref="AF54:AF55" si="589">AVERAGE(AB54:AE54)</f>
        <v>508</v>
      </c>
      <c r="AG54" s="16">
        <f t="shared" ref="AG54:AG55" si="590">AVERAGE(AE52,AG52)</f>
        <v>508</v>
      </c>
      <c r="AH54" s="16">
        <f t="shared" ref="AH54:AI54" si="591">AVERAGE(AG52,AH52)</f>
        <v>508</v>
      </c>
      <c r="AI54" s="16">
        <f t="shared" si="591"/>
        <v>508</v>
      </c>
      <c r="AJ54" s="16">
        <f t="shared" ref="AJ54" si="592">AVERAGE(AI52:AJ52)</f>
        <v>508</v>
      </c>
      <c r="AK54" s="10">
        <f t="shared" ref="AK54:AK55" si="593">AVERAGE(AG54:AJ54)</f>
        <v>508</v>
      </c>
      <c r="AL54" s="16">
        <f t="shared" ref="AL54:AL55" si="594">AVERAGE(AJ52,AL52)</f>
        <v>508</v>
      </c>
      <c r="AM54" s="16">
        <f t="shared" ref="AM54:AN54" si="595">AVERAGE(AL52,AM52)</f>
        <v>508</v>
      </c>
      <c r="AN54" s="16">
        <f t="shared" si="595"/>
        <v>508</v>
      </c>
      <c r="AO54" s="16">
        <f t="shared" ref="AO54" si="596">AVERAGE(AN52:AO52)</f>
        <v>508</v>
      </c>
      <c r="AP54" s="10">
        <f t="shared" ref="AP54:AP55" si="597">AVERAGE(AL54:AO54)</f>
        <v>508</v>
      </c>
      <c r="AQ54" s="16">
        <f t="shared" ref="AQ54:AQ55" si="598">AVERAGE(AO52,AQ52)</f>
        <v>508</v>
      </c>
      <c r="AR54" s="16">
        <f t="shared" ref="AR54:AS54" si="599">AVERAGE(AQ52,AR52)</f>
        <v>508</v>
      </c>
      <c r="AS54" s="16">
        <f t="shared" si="599"/>
        <v>508</v>
      </c>
      <c r="AT54" s="16">
        <f t="shared" ref="AT54" si="600">AVERAGE(AS52:AT52)</f>
        <v>508</v>
      </c>
      <c r="AU54" s="10">
        <f t="shared" ref="AU54:AU55" si="601">AVERAGE(AQ54:AT54)</f>
        <v>508</v>
      </c>
    </row>
    <row r="55" spans="1:47" x14ac:dyDescent="0.25">
      <c r="A55" s="9" t="s">
        <v>130</v>
      </c>
      <c r="B55" s="9" t="s">
        <v>154</v>
      </c>
      <c r="C55" s="15">
        <v>512.70000000000005</v>
      </c>
      <c r="D55" s="14">
        <v>512.70000000000005</v>
      </c>
      <c r="E55" s="14">
        <v>512.70000000000005</v>
      </c>
      <c r="F55" s="14">
        <v>512.70000000000005</v>
      </c>
      <c r="G55" s="16">
        <f>AVERAGE(C55:F55)</f>
        <v>512.70000000000005</v>
      </c>
      <c r="H55" s="16">
        <f>IFERROR(H49/H58,"na")</f>
        <v>513.28897338403044</v>
      </c>
      <c r="I55" s="14">
        <v>512.79999999999995</v>
      </c>
      <c r="J55" s="14">
        <v>512.70000000000005</v>
      </c>
      <c r="K55" s="14">
        <v>512.70000000000005</v>
      </c>
      <c r="L55" s="16">
        <f>AVERAGE(H55:K55)</f>
        <v>512.87224334600762</v>
      </c>
      <c r="M55" s="15">
        <v>512.70000000000005</v>
      </c>
      <c r="N55" s="14">
        <v>512.79999999999995</v>
      </c>
      <c r="O55" s="14">
        <v>512.79999999999995</v>
      </c>
      <c r="P55" s="14">
        <v>507.8</v>
      </c>
      <c r="Q55" s="16">
        <f>AVERAGE(M55:P55)</f>
        <v>511.52499999999998</v>
      </c>
      <c r="R55" s="15">
        <v>507.8</v>
      </c>
      <c r="S55" s="15">
        <v>507.9</v>
      </c>
      <c r="T55" s="15">
        <v>508</v>
      </c>
      <c r="U55" s="16">
        <f>AVERAGE(T53:U53)</f>
        <v>508</v>
      </c>
      <c r="V55" s="10">
        <f>AVERAGE(R55:U55)</f>
        <v>507.92500000000001</v>
      </c>
      <c r="W55" s="16">
        <f>AVERAGE(U53,W53)</f>
        <v>508</v>
      </c>
      <c r="X55" s="16">
        <f>AVERAGE(W53,X53)</f>
        <v>508</v>
      </c>
      <c r="Y55" s="16">
        <f>AVERAGE(X53,Y53)</f>
        <v>508</v>
      </c>
      <c r="Z55" s="16">
        <f>AVERAGE(Y53:Z53)</f>
        <v>508</v>
      </c>
      <c r="AA55" s="10">
        <f>AVERAGE(W55:Z55)</f>
        <v>508</v>
      </c>
      <c r="AB55" s="16">
        <f t="shared" si="586"/>
        <v>508</v>
      </c>
      <c r="AC55" s="16">
        <f t="shared" ref="AC55:AD55" si="602">AVERAGE(AB53,AC53)</f>
        <v>508</v>
      </c>
      <c r="AD55" s="16">
        <f t="shared" si="602"/>
        <v>508</v>
      </c>
      <c r="AE55" s="16">
        <f t="shared" ref="AE55" si="603">AVERAGE(AD53:AE53)</f>
        <v>508</v>
      </c>
      <c r="AF55" s="10">
        <f t="shared" si="589"/>
        <v>508</v>
      </c>
      <c r="AG55" s="16">
        <f t="shared" si="590"/>
        <v>508</v>
      </c>
      <c r="AH55" s="16">
        <f t="shared" ref="AH55:AI55" si="604">AVERAGE(AG53,AH53)</f>
        <v>508</v>
      </c>
      <c r="AI55" s="16">
        <f t="shared" si="604"/>
        <v>508</v>
      </c>
      <c r="AJ55" s="16">
        <f t="shared" ref="AJ55" si="605">AVERAGE(AI53:AJ53)</f>
        <v>508</v>
      </c>
      <c r="AK55" s="10">
        <f t="shared" si="593"/>
        <v>508</v>
      </c>
      <c r="AL55" s="16">
        <f t="shared" si="594"/>
        <v>508</v>
      </c>
      <c r="AM55" s="16">
        <f t="shared" ref="AM55:AN55" si="606">AVERAGE(AL53,AM53)</f>
        <v>508</v>
      </c>
      <c r="AN55" s="16">
        <f t="shared" si="606"/>
        <v>508</v>
      </c>
      <c r="AO55" s="16">
        <f t="shared" ref="AO55" si="607">AVERAGE(AN53:AO53)</f>
        <v>508</v>
      </c>
      <c r="AP55" s="10">
        <f t="shared" si="597"/>
        <v>508</v>
      </c>
      <c r="AQ55" s="16">
        <f t="shared" si="598"/>
        <v>508</v>
      </c>
      <c r="AR55" s="16">
        <f t="shared" ref="AR55:AS55" si="608">AVERAGE(AQ53,AR53)</f>
        <v>508</v>
      </c>
      <c r="AS55" s="16">
        <f t="shared" si="608"/>
        <v>508</v>
      </c>
      <c r="AT55" s="16">
        <f t="shared" ref="AT55" si="609">AVERAGE(AS53:AT53)</f>
        <v>508</v>
      </c>
      <c r="AU55" s="10">
        <f t="shared" si="601"/>
        <v>508</v>
      </c>
    </row>
    <row r="57" spans="1:47" x14ac:dyDescent="0.25">
      <c r="A57" s="9" t="s">
        <v>70</v>
      </c>
      <c r="B57" s="9" t="s">
        <v>155</v>
      </c>
      <c r="C57" s="17">
        <f t="shared" ref="C57:T57" si="610">IFERROR(C49/C54,"na")</f>
        <v>4.3988687341525239</v>
      </c>
      <c r="D57" s="17">
        <f t="shared" si="610"/>
        <v>3.7390286717378576</v>
      </c>
      <c r="E57" s="17">
        <f t="shared" si="610"/>
        <v>3.6223912619465577</v>
      </c>
      <c r="F57" s="17">
        <f t="shared" si="610"/>
        <v>2.9763994538716592</v>
      </c>
      <c r="G57" s="17">
        <f t="shared" si="610"/>
        <v>14.736688121708593</v>
      </c>
      <c r="H57" s="17">
        <f t="shared" si="610"/>
        <v>5.2660425199921983</v>
      </c>
      <c r="I57" s="17">
        <f t="shared" si="610"/>
        <v>4.4982449297971927</v>
      </c>
      <c r="J57" s="17">
        <f t="shared" si="610"/>
        <v>3.9483128535205747</v>
      </c>
      <c r="K57" s="17">
        <f t="shared" si="610"/>
        <v>3.0602691632533681</v>
      </c>
      <c r="L57" s="17">
        <f t="shared" si="610"/>
        <v>16.772928958018415</v>
      </c>
      <c r="M57" s="17">
        <f t="shared" si="610"/>
        <v>4.4175931343865829</v>
      </c>
      <c r="N57" s="17">
        <f t="shared" si="610"/>
        <v>4.9124414976599073</v>
      </c>
      <c r="O57" s="17">
        <f t="shared" si="610"/>
        <v>4.6770670826833047</v>
      </c>
      <c r="P57" s="17">
        <f t="shared" si="610"/>
        <v>4.807207562032298</v>
      </c>
      <c r="Q57" s="17">
        <f t="shared" si="610"/>
        <v>18.813352231073758</v>
      </c>
      <c r="R57" s="17">
        <f t="shared" si="610"/>
        <v>4.7000787711697551</v>
      </c>
      <c r="S57" s="17">
        <f t="shared" si="610"/>
        <v>4.5605434140578911</v>
      </c>
      <c r="T57" s="17">
        <f t="shared" si="610"/>
        <v>4.3202755905511783</v>
      </c>
      <c r="U57" s="17">
        <f t="shared" ref="U57:AU57" si="611">IFERROR(U49/U54,"na")</f>
        <v>4.708654078562752</v>
      </c>
      <c r="V57" s="17">
        <f t="shared" si="611"/>
        <v>18.289503906895465</v>
      </c>
      <c r="W57" s="17">
        <f t="shared" si="611"/>
        <v>5.2869570877145398</v>
      </c>
      <c r="X57" s="17">
        <f t="shared" si="611"/>
        <v>4.9742990821593338</v>
      </c>
      <c r="Y57" s="17">
        <f t="shared" si="611"/>
        <v>5.2022652847483926</v>
      </c>
      <c r="Z57" s="17">
        <f t="shared" si="611"/>
        <v>5.01888282239352</v>
      </c>
      <c r="AA57" s="17">
        <f t="shared" si="611"/>
        <v>20.482404277015789</v>
      </c>
      <c r="AB57" s="17">
        <f t="shared" si="611"/>
        <v>5.664138668720085</v>
      </c>
      <c r="AC57" s="17">
        <f t="shared" si="611"/>
        <v>5.4161444757884203</v>
      </c>
      <c r="AD57" s="17">
        <f t="shared" si="611"/>
        <v>5.7020431902330646</v>
      </c>
      <c r="AE57" s="17">
        <f t="shared" si="611"/>
        <v>5.4761395121734768</v>
      </c>
      <c r="AF57" s="17">
        <f t="shared" si="611"/>
        <v>22.258465846915051</v>
      </c>
      <c r="AG57" s="17">
        <f t="shared" si="611"/>
        <v>6.0385348444544702</v>
      </c>
      <c r="AH57" s="17">
        <f t="shared" si="611"/>
        <v>5.7795126327166546</v>
      </c>
      <c r="AI57" s="17">
        <f t="shared" si="611"/>
        <v>6.0865401459994386</v>
      </c>
      <c r="AJ57" s="17">
        <f t="shared" si="611"/>
        <v>5.8445142456019283</v>
      </c>
      <c r="AK57" s="17">
        <f t="shared" si="611"/>
        <v>23.749101868772481</v>
      </c>
      <c r="AL57" s="17">
        <f t="shared" si="611"/>
        <v>6.4493299514860176</v>
      </c>
      <c r="AM57" s="17">
        <f t="shared" si="611"/>
        <v>6.1725345890373937</v>
      </c>
      <c r="AN57" s="17">
        <f t="shared" si="611"/>
        <v>6.5008171441593205</v>
      </c>
      <c r="AO57" s="17">
        <f t="shared" si="611"/>
        <v>6.2435580320418227</v>
      </c>
      <c r="AP57" s="17">
        <f t="shared" si="611"/>
        <v>25.366239716724554</v>
      </c>
      <c r="AQ57" s="17">
        <f t="shared" si="611"/>
        <v>6.8902476450051768</v>
      </c>
      <c r="AR57" s="17">
        <f t="shared" si="611"/>
        <v>6.5941110337066471</v>
      </c>
      <c r="AS57" s="17">
        <f t="shared" si="611"/>
        <v>6.9452610871032174</v>
      </c>
      <c r="AT57" s="17">
        <f t="shared" si="611"/>
        <v>6.6718593149861238</v>
      </c>
      <c r="AU57" s="17">
        <f t="shared" si="611"/>
        <v>27.101479080801166</v>
      </c>
    </row>
    <row r="58" spans="1:47" x14ac:dyDescent="0.25">
      <c r="A58" s="9" t="s">
        <v>131</v>
      </c>
      <c r="B58" s="9" t="s">
        <v>155</v>
      </c>
      <c r="C58" s="17">
        <f>IFERROR(C49/C55,"na")</f>
        <v>4.3988687341525239</v>
      </c>
      <c r="D58" s="17">
        <f>IFERROR(D49/D55,"na")</f>
        <v>3.7390286717378576</v>
      </c>
      <c r="E58" s="17">
        <f>IFERROR(E49/E55,"na")</f>
        <v>3.6223912619465577</v>
      </c>
      <c r="F58" s="17">
        <f>IFERROR(F49/F55,"na")</f>
        <v>2.9763994538716592</v>
      </c>
      <c r="G58" s="17">
        <f>IFERROR(G49/G55,"na")</f>
        <v>14.736688121708593</v>
      </c>
      <c r="H58" s="23">
        <v>5.26</v>
      </c>
      <c r="I58" s="17">
        <f t="shared" ref="I58:T58" si="612">IFERROR(I49/I55,"na")</f>
        <v>4.4982449297971927</v>
      </c>
      <c r="J58" s="17">
        <f t="shared" si="612"/>
        <v>3.9483128535205747</v>
      </c>
      <c r="K58" s="17">
        <f t="shared" si="612"/>
        <v>3.0602691632533681</v>
      </c>
      <c r="L58" s="17">
        <f t="shared" si="612"/>
        <v>16.768113524517833</v>
      </c>
      <c r="M58" s="17">
        <f t="shared" si="612"/>
        <v>4.4175931343865829</v>
      </c>
      <c r="N58" s="17">
        <f t="shared" si="612"/>
        <v>4.9124414976599073</v>
      </c>
      <c r="O58" s="17">
        <f t="shared" si="612"/>
        <v>4.6770670826833047</v>
      </c>
      <c r="P58" s="17">
        <f t="shared" si="612"/>
        <v>4.807207562032298</v>
      </c>
      <c r="Q58" s="17">
        <f t="shared" si="612"/>
        <v>18.813352231073758</v>
      </c>
      <c r="R58" s="17">
        <f t="shared" si="612"/>
        <v>4.7000787711697551</v>
      </c>
      <c r="S58" s="17">
        <f t="shared" si="612"/>
        <v>4.5605434140578911</v>
      </c>
      <c r="T58" s="17">
        <f t="shared" si="612"/>
        <v>4.3202755905511783</v>
      </c>
      <c r="U58" s="17">
        <f t="shared" ref="U58:AU58" si="613">IFERROR(U49/U55,"na")</f>
        <v>4.708654078562752</v>
      </c>
      <c r="V58" s="17">
        <f t="shared" si="613"/>
        <v>18.289503906895465</v>
      </c>
      <c r="W58" s="17">
        <f t="shared" si="613"/>
        <v>5.2869570877145398</v>
      </c>
      <c r="X58" s="17">
        <f t="shared" si="613"/>
        <v>4.9742990821593338</v>
      </c>
      <c r="Y58" s="17">
        <f t="shared" si="613"/>
        <v>5.2022652847483926</v>
      </c>
      <c r="Z58" s="17">
        <f t="shared" si="613"/>
        <v>5.01888282239352</v>
      </c>
      <c r="AA58" s="17">
        <f t="shared" si="613"/>
        <v>20.482404277015789</v>
      </c>
      <c r="AB58" s="17">
        <f t="shared" si="613"/>
        <v>5.664138668720085</v>
      </c>
      <c r="AC58" s="17">
        <f t="shared" si="613"/>
        <v>5.4161444757884203</v>
      </c>
      <c r="AD58" s="17">
        <f t="shared" si="613"/>
        <v>5.7020431902330646</v>
      </c>
      <c r="AE58" s="17">
        <f t="shared" si="613"/>
        <v>5.4761395121734768</v>
      </c>
      <c r="AF58" s="17">
        <f t="shared" si="613"/>
        <v>22.258465846915051</v>
      </c>
      <c r="AG58" s="17">
        <f t="shared" si="613"/>
        <v>6.0385348444544702</v>
      </c>
      <c r="AH58" s="17">
        <f t="shared" si="613"/>
        <v>5.7795126327166546</v>
      </c>
      <c r="AI58" s="17">
        <f t="shared" si="613"/>
        <v>6.0865401459994386</v>
      </c>
      <c r="AJ58" s="17">
        <f t="shared" si="613"/>
        <v>5.8445142456019283</v>
      </c>
      <c r="AK58" s="17">
        <f t="shared" si="613"/>
        <v>23.749101868772481</v>
      </c>
      <c r="AL58" s="17">
        <f t="shared" si="613"/>
        <v>6.4493299514860176</v>
      </c>
      <c r="AM58" s="17">
        <f t="shared" si="613"/>
        <v>6.1725345890373937</v>
      </c>
      <c r="AN58" s="17">
        <f t="shared" si="613"/>
        <v>6.5008171441593205</v>
      </c>
      <c r="AO58" s="17">
        <f t="shared" si="613"/>
        <v>6.2435580320418227</v>
      </c>
      <c r="AP58" s="17">
        <f t="shared" si="613"/>
        <v>25.366239716724554</v>
      </c>
      <c r="AQ58" s="17">
        <f t="shared" si="613"/>
        <v>6.8902476450051768</v>
      </c>
      <c r="AR58" s="17">
        <f t="shared" si="613"/>
        <v>6.5941110337066471</v>
      </c>
      <c r="AS58" s="17">
        <f t="shared" si="613"/>
        <v>6.9452610871032174</v>
      </c>
      <c r="AT58" s="17">
        <f t="shared" si="613"/>
        <v>6.6718593149861238</v>
      </c>
      <c r="AU58" s="17">
        <f t="shared" si="613"/>
        <v>27.101479080801166</v>
      </c>
    </row>
    <row r="60" spans="1:47" x14ac:dyDescent="0.25">
      <c r="A60" s="9" t="s">
        <v>76</v>
      </c>
      <c r="B60" s="9" t="s">
        <v>155</v>
      </c>
      <c r="C60" s="18">
        <v>0</v>
      </c>
      <c r="D60" s="18">
        <v>0</v>
      </c>
      <c r="E60" s="18">
        <v>0</v>
      </c>
      <c r="F60" s="18">
        <f>3.65+0.5</f>
        <v>4.1500000000000004</v>
      </c>
      <c r="G60" s="19">
        <f>C60+D60+E60+F60</f>
        <v>4.1500000000000004</v>
      </c>
      <c r="H60" s="18">
        <v>0</v>
      </c>
      <c r="I60" s="18">
        <v>0</v>
      </c>
      <c r="J60" s="18">
        <v>0</v>
      </c>
      <c r="K60" s="18">
        <v>4.75</v>
      </c>
      <c r="L60" s="19">
        <f>H60+I60+J60+K60</f>
        <v>4.75</v>
      </c>
      <c r="M60" s="18">
        <v>0</v>
      </c>
      <c r="N60" s="18">
        <v>0</v>
      </c>
      <c r="O60" s="18">
        <v>0</v>
      </c>
      <c r="P60" s="18">
        <v>6</v>
      </c>
      <c r="Q60" s="19">
        <f>M60+N60+O60+P60</f>
        <v>6</v>
      </c>
      <c r="R60" s="18">
        <v>0</v>
      </c>
      <c r="S60" s="18">
        <v>0</v>
      </c>
      <c r="T60" s="18">
        <v>0</v>
      </c>
      <c r="U60" s="19">
        <f>V60-(R60+S60+T60)</f>
        <v>6.1269838088099808</v>
      </c>
      <c r="V60" s="19">
        <f>IFERROR(V58*V61,"na")</f>
        <v>6.1269838088099808</v>
      </c>
      <c r="W60" s="72">
        <f>R60</f>
        <v>0</v>
      </c>
      <c r="X60" s="72">
        <f t="shared" ref="X60:Y60" si="614">S60</f>
        <v>0</v>
      </c>
      <c r="Y60" s="72">
        <f t="shared" si="614"/>
        <v>0</v>
      </c>
      <c r="Z60" s="19">
        <f>AA60-(W60+X60+Y60)</f>
        <v>6.8616054328002898</v>
      </c>
      <c r="AA60" s="19">
        <f>IFERROR(AA58*AA61,"na")</f>
        <v>6.8616054328002898</v>
      </c>
      <c r="AB60" s="72">
        <f t="shared" ref="AB60" si="615">W60</f>
        <v>0</v>
      </c>
      <c r="AC60" s="72">
        <f t="shared" ref="AC60" si="616">X60</f>
        <v>0</v>
      </c>
      <c r="AD60" s="72">
        <f t="shared" ref="AD60" si="617">Y60</f>
        <v>0</v>
      </c>
      <c r="AE60" s="19">
        <f t="shared" ref="AE60" si="618">AF60-(AB60+AC60+AD60)</f>
        <v>7.4565860587165425</v>
      </c>
      <c r="AF60" s="19">
        <f t="shared" ref="AF60" si="619">IFERROR(AF58*AF61,"na")</f>
        <v>7.4565860587165425</v>
      </c>
      <c r="AG60" s="72">
        <f t="shared" ref="AG60" si="620">AB60</f>
        <v>0</v>
      </c>
      <c r="AH60" s="72">
        <f t="shared" ref="AH60" si="621">AC60</f>
        <v>0</v>
      </c>
      <c r="AI60" s="72">
        <f t="shared" ref="AI60" si="622">AD60</f>
        <v>0</v>
      </c>
      <c r="AJ60" s="19">
        <f t="shared" ref="AJ60" si="623">AK60-(AG60+AH60+AI60)</f>
        <v>7.9559491260387816</v>
      </c>
      <c r="AK60" s="19">
        <f t="shared" ref="AK60" si="624">IFERROR(AK58*AK61,"na")</f>
        <v>7.9559491260387816</v>
      </c>
      <c r="AL60" s="72">
        <f t="shared" ref="AL60" si="625">AG60</f>
        <v>0</v>
      </c>
      <c r="AM60" s="72">
        <f t="shared" ref="AM60" si="626">AH60</f>
        <v>0</v>
      </c>
      <c r="AN60" s="72">
        <f t="shared" ref="AN60" si="627">AI60</f>
        <v>0</v>
      </c>
      <c r="AO60" s="19">
        <f t="shared" ref="AO60" si="628">AP60-(AL60+AM60+AN60)</f>
        <v>8.4976903051027257</v>
      </c>
      <c r="AP60" s="19">
        <f t="shared" ref="AP60" si="629">IFERROR(AP58*AP61,"na")</f>
        <v>8.4976903051027257</v>
      </c>
      <c r="AQ60" s="72">
        <f t="shared" ref="AQ60" si="630">AL60</f>
        <v>0</v>
      </c>
      <c r="AR60" s="72">
        <f t="shared" ref="AR60" si="631">AM60</f>
        <v>0</v>
      </c>
      <c r="AS60" s="72">
        <f t="shared" ref="AS60" si="632">AN60</f>
        <v>0</v>
      </c>
      <c r="AT60" s="19">
        <f t="shared" ref="AT60" si="633">AU60-(AQ60+AR60+AS60)</f>
        <v>9.0789954920683904</v>
      </c>
      <c r="AU60" s="19">
        <f t="shared" ref="AU60" si="634">IFERROR(AU58*AU61,"na")</f>
        <v>9.0789954920683904</v>
      </c>
    </row>
    <row r="61" spans="1:47" s="35" customFormat="1" x14ac:dyDescent="0.25">
      <c r="A61" s="34" t="s">
        <v>162</v>
      </c>
      <c r="B61" s="35" t="s">
        <v>145</v>
      </c>
      <c r="C61" s="29"/>
      <c r="D61" s="29"/>
      <c r="E61" s="29"/>
      <c r="F61" s="29"/>
      <c r="G61" s="29">
        <f t="shared" ref="G61:Q61" si="635">IFERROR(G60/G58,"na")</f>
        <v>0.28161008536827498</v>
      </c>
      <c r="H61" s="29"/>
      <c r="I61" s="29"/>
      <c r="J61" s="29"/>
      <c r="K61" s="29"/>
      <c r="L61" s="29">
        <f t="shared" si="635"/>
        <v>0.28327575389173576</v>
      </c>
      <c r="M61" s="29"/>
      <c r="N61" s="29"/>
      <c r="O61" s="29"/>
      <c r="P61" s="29"/>
      <c r="Q61" s="29">
        <f>IFERROR(Q60/Q58,"na")</f>
        <v>0.31892242946952759</v>
      </c>
      <c r="R61" s="29"/>
      <c r="S61" s="29"/>
      <c r="T61" s="29"/>
      <c r="U61" s="29"/>
      <c r="V61" s="36">
        <v>0.33500000000000002</v>
      </c>
      <c r="W61" s="71"/>
      <c r="X61" s="71"/>
      <c r="Y61" s="71"/>
      <c r="Z61" s="71"/>
      <c r="AA61" s="36">
        <f>V61</f>
        <v>0.33500000000000002</v>
      </c>
      <c r="AB61" s="71"/>
      <c r="AC61" s="71"/>
      <c r="AD61" s="71"/>
      <c r="AE61" s="71"/>
      <c r="AF61" s="36">
        <f t="shared" ref="AF61" si="636">AA61</f>
        <v>0.33500000000000002</v>
      </c>
      <c r="AG61" s="71"/>
      <c r="AH61" s="71"/>
      <c r="AI61" s="71"/>
      <c r="AJ61" s="71"/>
      <c r="AK61" s="36">
        <f t="shared" ref="AK61" si="637">AF61</f>
        <v>0.33500000000000002</v>
      </c>
      <c r="AL61" s="71"/>
      <c r="AM61" s="71"/>
      <c r="AN61" s="71"/>
      <c r="AO61" s="71"/>
      <c r="AP61" s="36">
        <f t="shared" ref="AP61" si="638">AK61</f>
        <v>0.33500000000000002</v>
      </c>
      <c r="AQ61" s="71"/>
      <c r="AR61" s="71"/>
      <c r="AS61" s="71"/>
      <c r="AT61" s="71"/>
      <c r="AU61" s="36">
        <f t="shared" ref="AU61" si="639">AP61</f>
        <v>0.33500000000000002</v>
      </c>
    </row>
    <row r="63" spans="1:47" x14ac:dyDescent="0.25">
      <c r="A63" s="30" t="s">
        <v>77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</row>
    <row r="64" spans="1:47" x14ac:dyDescent="0.25">
      <c r="A64" s="3"/>
      <c r="L64" s="10"/>
      <c r="Q64" s="10"/>
      <c r="V64" s="10"/>
      <c r="AA64" s="10"/>
      <c r="AF64" s="10"/>
    </row>
    <row r="65" spans="1:47" x14ac:dyDescent="0.25">
      <c r="A65" s="3" t="s">
        <v>78</v>
      </c>
      <c r="B65" s="9" t="s">
        <v>146</v>
      </c>
      <c r="D65" s="10">
        <f>D66+D67</f>
        <v>1180.0999999999999</v>
      </c>
      <c r="F65" s="10">
        <f>F66+F67</f>
        <v>1319.4</v>
      </c>
      <c r="G65" s="10">
        <f>G66+G67</f>
        <v>1319.4</v>
      </c>
      <c r="I65" s="10">
        <f>I66+I67</f>
        <v>1536.8</v>
      </c>
      <c r="K65" s="10">
        <f>K66+K67</f>
        <v>999.40000000000009</v>
      </c>
      <c r="L65" s="10">
        <f>L66+L67</f>
        <v>999.40000000000009</v>
      </c>
      <c r="N65" s="10">
        <f>N66+N67</f>
        <v>1522.6999999999998</v>
      </c>
      <c r="P65" s="10">
        <f>P66+P67</f>
        <v>1635.8000000000002</v>
      </c>
      <c r="Q65" s="10">
        <f>Q66+Q67</f>
        <v>1635.8000000000002</v>
      </c>
      <c r="S65" s="10">
        <f>S66+S67</f>
        <v>1543.9</v>
      </c>
      <c r="T65" s="10"/>
      <c r="U65" s="10"/>
      <c r="V65" s="10">
        <f>Q65+V196</f>
        <v>7413.7113182933208</v>
      </c>
      <c r="W65" s="10"/>
      <c r="X65" s="10"/>
      <c r="Y65" s="10"/>
      <c r="Z65" s="10"/>
      <c r="AA65" s="10">
        <f>V65+AA196</f>
        <v>13113.522108975216</v>
      </c>
      <c r="AB65" s="10"/>
      <c r="AC65" s="10"/>
      <c r="AD65" s="10"/>
      <c r="AE65" s="10"/>
      <c r="AF65" s="10">
        <f>AA65+AF196</f>
        <v>18935.507065803042</v>
      </c>
      <c r="AG65" s="10"/>
      <c r="AH65" s="10"/>
      <c r="AI65" s="10"/>
      <c r="AJ65" s="10"/>
      <c r="AK65" s="10">
        <f>AF65+AK196</f>
        <v>26211.863079279312</v>
      </c>
      <c r="AL65" s="10"/>
      <c r="AM65" s="10"/>
      <c r="AN65" s="10"/>
      <c r="AO65" s="10"/>
      <c r="AP65" s="10">
        <f>AK65+AP196</f>
        <v>33424.516758810139</v>
      </c>
      <c r="AQ65" s="10"/>
      <c r="AR65" s="10"/>
      <c r="AS65" s="10"/>
      <c r="AT65" s="10"/>
      <c r="AU65" s="10">
        <f>AP65+AU196</f>
        <v>41388.038618334853</v>
      </c>
    </row>
    <row r="66" spans="1:47" outlineLevel="1" x14ac:dyDescent="0.25">
      <c r="A66" s="11" t="s">
        <v>78</v>
      </c>
      <c r="B66" s="9" t="s">
        <v>146</v>
      </c>
      <c r="D66" s="12">
        <v>1180.0999999999999</v>
      </c>
      <c r="F66" s="12">
        <v>1319.4</v>
      </c>
      <c r="G66" s="10">
        <f>F66</f>
        <v>1319.4</v>
      </c>
      <c r="I66" s="12">
        <v>333.2</v>
      </c>
      <c r="K66" s="12">
        <v>903.7</v>
      </c>
      <c r="L66" s="10">
        <f>K66</f>
        <v>903.7</v>
      </c>
      <c r="N66" s="12">
        <v>1407.1</v>
      </c>
      <c r="P66" s="12">
        <v>1493.4</v>
      </c>
      <c r="Q66" s="10">
        <f>P66</f>
        <v>1493.4</v>
      </c>
      <c r="S66" s="12">
        <v>1396</v>
      </c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7" outlineLevel="1" x14ac:dyDescent="0.25">
      <c r="A67" s="11" t="s">
        <v>124</v>
      </c>
      <c r="B67" s="9" t="s">
        <v>146</v>
      </c>
      <c r="D67" s="12">
        <v>0</v>
      </c>
      <c r="F67" s="12">
        <v>0</v>
      </c>
      <c r="G67" s="10">
        <f t="shared" ref="G67:G79" si="640">F67</f>
        <v>0</v>
      </c>
      <c r="I67" s="12">
        <v>1203.5999999999999</v>
      </c>
      <c r="K67" s="12">
        <v>95.7</v>
      </c>
      <c r="L67" s="10">
        <f t="shared" ref="L67:L79" si="641">K67</f>
        <v>95.7</v>
      </c>
      <c r="N67" s="12">
        <v>115.6</v>
      </c>
      <c r="P67" s="12">
        <v>142.4</v>
      </c>
      <c r="Q67" s="10">
        <f t="shared" ref="Q67:Q79" si="642">P67</f>
        <v>142.4</v>
      </c>
      <c r="S67" s="12">
        <v>147.9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7" x14ac:dyDescent="0.25">
      <c r="A68" s="3" t="s">
        <v>79</v>
      </c>
      <c r="B68" s="9" t="s">
        <v>146</v>
      </c>
      <c r="D68" s="12">
        <v>3993.7</v>
      </c>
      <c r="F68" s="12">
        <v>5311.7</v>
      </c>
      <c r="G68" s="10">
        <f t="shared" si="640"/>
        <v>5311.7</v>
      </c>
      <c r="I68" s="12">
        <v>10733.6</v>
      </c>
      <c r="K68" s="12">
        <v>13898.1</v>
      </c>
      <c r="L68" s="10">
        <f t="shared" si="641"/>
        <v>13898.1</v>
      </c>
      <c r="N68" s="12">
        <v>14866.5</v>
      </c>
      <c r="P68" s="12">
        <v>11149.2</v>
      </c>
      <c r="Q68" s="10">
        <f t="shared" si="642"/>
        <v>11149.2</v>
      </c>
      <c r="S68" s="12">
        <v>11448.6</v>
      </c>
      <c r="T68" s="10"/>
      <c r="U68" s="10"/>
      <c r="V68" s="10">
        <f>Q68</f>
        <v>11149.2</v>
      </c>
      <c r="W68" s="10"/>
      <c r="X68" s="10"/>
      <c r="Y68" s="10"/>
      <c r="Z68" s="10"/>
      <c r="AA68" s="10">
        <f>V68</f>
        <v>11149.2</v>
      </c>
      <c r="AB68" s="10"/>
      <c r="AC68" s="10"/>
      <c r="AD68" s="10"/>
      <c r="AE68" s="10"/>
      <c r="AF68" s="10">
        <f>AA68</f>
        <v>11149.2</v>
      </c>
      <c r="AG68" s="10"/>
      <c r="AH68" s="10"/>
      <c r="AI68" s="10"/>
      <c r="AJ68" s="10"/>
      <c r="AK68" s="10">
        <f>AF68</f>
        <v>11149.2</v>
      </c>
      <c r="AL68" s="10"/>
      <c r="AM68" s="10"/>
      <c r="AN68" s="10"/>
      <c r="AO68" s="10"/>
      <c r="AP68" s="10">
        <f>AK68</f>
        <v>11149.2</v>
      </c>
      <c r="AQ68" s="10"/>
      <c r="AR68" s="10"/>
      <c r="AS68" s="10"/>
      <c r="AT68" s="10"/>
      <c r="AU68" s="10">
        <f>AP68</f>
        <v>11149.2</v>
      </c>
    </row>
    <row r="69" spans="1:47" x14ac:dyDescent="0.25">
      <c r="A69" s="3" t="s">
        <v>80</v>
      </c>
      <c r="B69" s="9" t="s">
        <v>146</v>
      </c>
      <c r="D69" s="12">
        <v>6180.4</v>
      </c>
      <c r="F69" s="12">
        <v>6290</v>
      </c>
      <c r="G69" s="10">
        <f t="shared" si="640"/>
        <v>6290</v>
      </c>
      <c r="I69" s="12">
        <v>6294.2</v>
      </c>
      <c r="K69" s="12">
        <v>7208.6</v>
      </c>
      <c r="L69" s="10">
        <f t="shared" si="641"/>
        <v>7208.6</v>
      </c>
      <c r="N69" s="12">
        <v>6387.7</v>
      </c>
      <c r="P69" s="12">
        <v>8043.3</v>
      </c>
      <c r="Q69" s="10">
        <f t="shared" si="642"/>
        <v>8043.3</v>
      </c>
      <c r="S69" s="12">
        <v>8647.7999999999993</v>
      </c>
      <c r="T69" s="10"/>
      <c r="U69" s="10"/>
      <c r="V69" s="10">
        <f>-IFERROR((V14*V70)/V5,"na")</f>
        <v>9424.1094979811605</v>
      </c>
      <c r="W69" s="10"/>
      <c r="X69" s="10"/>
      <c r="Y69" s="10"/>
      <c r="Z69" s="10"/>
      <c r="AA69" s="10">
        <f>-IFERROR((AA14*AA70)/AA5,"na")</f>
        <v>9708.842607713681</v>
      </c>
      <c r="AB69" s="10"/>
      <c r="AC69" s="10"/>
      <c r="AD69" s="10"/>
      <c r="AE69" s="10"/>
      <c r="AF69" s="10">
        <f>-IFERROR((AF14*AF70)/AF5,"na")</f>
        <v>10646.197217711015</v>
      </c>
      <c r="AG69" s="10"/>
      <c r="AH69" s="10"/>
      <c r="AI69" s="10"/>
      <c r="AJ69" s="10"/>
      <c r="AK69" s="10">
        <f>-IFERROR((AK14*AK70)/AK5,"na")</f>
        <v>11153.254998158174</v>
      </c>
      <c r="AL69" s="10"/>
      <c r="AM69" s="10"/>
      <c r="AN69" s="10"/>
      <c r="AO69" s="10"/>
      <c r="AP69" s="10">
        <f>-IFERROR((AP14*AP70)/AP5,"na")</f>
        <v>11929.927277288729</v>
      </c>
      <c r="AQ69" s="10"/>
      <c r="AR69" s="10"/>
      <c r="AS69" s="10"/>
      <c r="AT69" s="10"/>
      <c r="AU69" s="10">
        <f>-IFERROR((AU14*AU70)/AU5,"na")</f>
        <v>12727.975024321682</v>
      </c>
    </row>
    <row r="70" spans="1:47" s="21" customFormat="1" x14ac:dyDescent="0.25">
      <c r="A70" s="31" t="s">
        <v>161</v>
      </c>
      <c r="B70" s="21" t="s">
        <v>158</v>
      </c>
      <c r="D70" s="22"/>
      <c r="F70" s="22"/>
      <c r="G70" s="22">
        <f>-IFERROR((AVERAGE(G69)/G14)*G5,"na")</f>
        <v>89.012875536480678</v>
      </c>
      <c r="I70" s="32"/>
      <c r="K70" s="32"/>
      <c r="L70" s="22">
        <f>-IFERROR((AVERAGE(L69,G69)/L14)*L5,"na")</f>
        <v>93.329740562821073</v>
      </c>
      <c r="N70" s="32"/>
      <c r="P70" s="32"/>
      <c r="Q70" s="22">
        <f>-IFERROR((AVERAGE(Q69,L69)/Q14)*Q5,"na")</f>
        <v>96.392282651983464</v>
      </c>
      <c r="S70" s="32"/>
      <c r="V70" s="33">
        <v>94</v>
      </c>
      <c r="AA70" s="33">
        <f>V70</f>
        <v>94</v>
      </c>
      <c r="AF70" s="33">
        <f>AA70</f>
        <v>94</v>
      </c>
      <c r="AK70" s="33">
        <f>AF70</f>
        <v>94</v>
      </c>
      <c r="AP70" s="33">
        <f>AVERAGE(AA70,AF70,AK70)</f>
        <v>94</v>
      </c>
      <c r="AU70" s="33">
        <f>AP70</f>
        <v>94</v>
      </c>
    </row>
    <row r="71" spans="1:47" x14ac:dyDescent="0.25">
      <c r="A71" s="3" t="s">
        <v>81</v>
      </c>
      <c r="B71" s="9" t="s">
        <v>146</v>
      </c>
      <c r="D71" s="12">
        <v>8182.1</v>
      </c>
      <c r="F71" s="12">
        <v>7294</v>
      </c>
      <c r="G71" s="10">
        <f t="shared" si="640"/>
        <v>7294</v>
      </c>
      <c r="I71" s="12">
        <v>8834.1</v>
      </c>
      <c r="K71" s="12">
        <v>7685.4</v>
      </c>
      <c r="L71" s="10">
        <f t="shared" si="641"/>
        <v>7685.4</v>
      </c>
      <c r="N71" s="12">
        <v>9276.2999999999993</v>
      </c>
      <c r="P71" s="12">
        <v>9381.2999999999993</v>
      </c>
      <c r="Q71" s="10">
        <f t="shared" si="642"/>
        <v>9381.2999999999993</v>
      </c>
      <c r="S71" s="12">
        <v>11061.7</v>
      </c>
      <c r="T71" s="10"/>
      <c r="U71" s="10"/>
      <c r="V71" s="10">
        <f>IFERROR((V9*V72)/V5,"na")</f>
        <v>9881.9913788847134</v>
      </c>
      <c r="W71" s="10"/>
      <c r="X71" s="10"/>
      <c r="Y71" s="10"/>
      <c r="Z71" s="10"/>
      <c r="AA71" s="10">
        <f>IFERROR((AA9*AA72)/AA5,"na")</f>
        <v>10539.342822094746</v>
      </c>
      <c r="AB71" s="10"/>
      <c r="AC71" s="10"/>
      <c r="AD71" s="10"/>
      <c r="AE71" s="10"/>
      <c r="AF71" s="10">
        <f>IFERROR((AF9*AF72)/AF5,"na")</f>
        <v>11556.879307111391</v>
      </c>
      <c r="AG71" s="10"/>
      <c r="AH71" s="10"/>
      <c r="AI71" s="10"/>
      <c r="AJ71" s="10"/>
      <c r="AK71" s="10">
        <f>IFERROR((AK9*AK72)/AK5,"na")</f>
        <v>12359.546762143369</v>
      </c>
      <c r="AL71" s="10"/>
      <c r="AM71" s="10"/>
      <c r="AN71" s="10"/>
      <c r="AO71" s="10"/>
      <c r="AP71" s="10">
        <f>IFERROR((AP9*AP72)/AP5,"na")</f>
        <v>13220.220830328824</v>
      </c>
      <c r="AQ71" s="10"/>
      <c r="AR71" s="10"/>
      <c r="AS71" s="10"/>
      <c r="AT71" s="10"/>
      <c r="AU71" s="10">
        <f>IFERROR((AU9*AU72)/AU5,"na")</f>
        <v>14104.582252129525</v>
      </c>
    </row>
    <row r="72" spans="1:47" s="21" customFormat="1" x14ac:dyDescent="0.25">
      <c r="A72" s="31" t="s">
        <v>153</v>
      </c>
      <c r="B72" s="21" t="s">
        <v>158</v>
      </c>
      <c r="D72" s="22"/>
      <c r="F72" s="22"/>
      <c r="G72" s="22">
        <f>IFERROR((AVERAGE(G71)/G9)*G5,"na")</f>
        <v>49.718388289303377</v>
      </c>
      <c r="I72" s="32"/>
      <c r="K72" s="32"/>
      <c r="L72" s="22">
        <f>IFERROR((AVERAGE(L71,G71)/L9)*L5,"na")</f>
        <v>48.67086894827829</v>
      </c>
      <c r="N72" s="32"/>
      <c r="P72" s="32"/>
      <c r="Q72" s="22">
        <f>IFERROR((AVERAGE(Q71,L71)/Q9)*Q5,"na")</f>
        <v>51.169258255298161</v>
      </c>
      <c r="S72" s="32"/>
      <c r="V72" s="33">
        <v>50</v>
      </c>
      <c r="AA72" s="33">
        <f>V72</f>
        <v>50</v>
      </c>
      <c r="AF72" s="33">
        <f>AA72</f>
        <v>50</v>
      </c>
      <c r="AK72" s="33">
        <f>AF72</f>
        <v>50</v>
      </c>
      <c r="AP72" s="33">
        <f>AVERAGE(AA72,AF72,AK72)</f>
        <v>50</v>
      </c>
      <c r="AU72" s="33">
        <f>AP72</f>
        <v>50</v>
      </c>
    </row>
    <row r="73" spans="1:47" x14ac:dyDescent="0.25">
      <c r="A73" s="3" t="s">
        <v>82</v>
      </c>
      <c r="B73" s="9" t="s">
        <v>146</v>
      </c>
      <c r="D73" s="10">
        <f>D75+D76+D77+D78+D79</f>
        <v>1006.5</v>
      </c>
      <c r="F73" s="10">
        <f>F75+F76+F77+F78+F79</f>
        <v>1267.3</v>
      </c>
      <c r="G73" s="10">
        <f>G75+G76+G77+G78+G79</f>
        <v>1267.3</v>
      </c>
      <c r="I73" s="10">
        <f>I75+I76+I77+I78+I79</f>
        <v>1628.3999999999999</v>
      </c>
      <c r="K73" s="10">
        <f>K75+K76+K77+K78+K79</f>
        <v>1548.4</v>
      </c>
      <c r="L73" s="10">
        <f>L75+L76+L77+L78+L79</f>
        <v>1548.4</v>
      </c>
      <c r="N73" s="10">
        <f>N75+N76+N77+N78+N79</f>
        <v>2606.3000000000002</v>
      </c>
      <c r="P73" s="10">
        <f>P75+P76+P77+P78+P79</f>
        <v>2878.2</v>
      </c>
      <c r="Q73" s="10">
        <f>Q75+Q76+Q77+Q78+Q79</f>
        <v>2878.2</v>
      </c>
      <c r="S73" s="10">
        <f>S75+S76+S77+S78+S79</f>
        <v>2662.2</v>
      </c>
      <c r="T73" s="10"/>
      <c r="U73" s="10"/>
      <c r="V73" s="10">
        <f>IFERROR(V9*V74,"na")</f>
        <v>2367.4369458194683</v>
      </c>
      <c r="W73" s="10"/>
      <c r="X73" s="10"/>
      <c r="Y73" s="10"/>
      <c r="Z73" s="10"/>
      <c r="AA73" s="10">
        <f>IFERROR(AA9*AA74,"na")</f>
        <v>2768.8322536583964</v>
      </c>
      <c r="AB73" s="10"/>
      <c r="AC73" s="10"/>
      <c r="AD73" s="10"/>
      <c r="AE73" s="10"/>
      <c r="AF73" s="10">
        <f>IFERROR(AF9*AF74,"na")</f>
        <v>3261.9019325540276</v>
      </c>
      <c r="AG73" s="10"/>
      <c r="AH73" s="10"/>
      <c r="AI73" s="10"/>
      <c r="AJ73" s="10"/>
      <c r="AK73" s="10">
        <f>IFERROR(AK9*AK74,"na")</f>
        <v>3229.1978121061557</v>
      </c>
      <c r="AL73" s="10"/>
      <c r="AM73" s="10"/>
      <c r="AN73" s="10"/>
      <c r="AO73" s="10"/>
      <c r="AP73" s="10">
        <f>IFERROR(AP9*AP74,"na")</f>
        <v>3549.6968115394893</v>
      </c>
      <c r="AQ73" s="10"/>
      <c r="AR73" s="10"/>
      <c r="AS73" s="10"/>
      <c r="AT73" s="10"/>
      <c r="AU73" s="10">
        <f>IFERROR(AU9*AU74,"na")</f>
        <v>3828.214058720836</v>
      </c>
    </row>
    <row r="74" spans="1:47" s="21" customFormat="1" x14ac:dyDescent="0.25">
      <c r="A74" s="37" t="s">
        <v>148</v>
      </c>
      <c r="B74" s="35" t="s">
        <v>145</v>
      </c>
      <c r="C74" s="35"/>
      <c r="D74" s="38"/>
      <c r="E74" s="35"/>
      <c r="F74" s="38"/>
      <c r="G74" s="29">
        <f>IFERROR(G73/G9,"na")</f>
        <v>2.3602044902178061E-2</v>
      </c>
      <c r="H74" s="35"/>
      <c r="I74" s="38"/>
      <c r="J74" s="35"/>
      <c r="K74" s="38"/>
      <c r="L74" s="29">
        <f>IFERROR(L73/L9,"na")</f>
        <v>2.7567347185848148E-2</v>
      </c>
      <c r="M74" s="35"/>
      <c r="N74" s="38"/>
      <c r="O74" s="35"/>
      <c r="P74" s="38"/>
      <c r="Q74" s="29">
        <f>IFERROR(Q73/Q9,"na")</f>
        <v>4.7284376540167566E-2</v>
      </c>
      <c r="S74" s="22"/>
      <c r="V74" s="36">
        <f>AVERAGE(G74,L74,Q74)</f>
        <v>3.2817922876064588E-2</v>
      </c>
      <c r="W74" s="27"/>
      <c r="X74" s="27"/>
      <c r="Y74" s="27"/>
      <c r="Z74" s="27"/>
      <c r="AA74" s="36">
        <f>AVERAGE(L74,Q74,V74)</f>
        <v>3.5889882200693439E-2</v>
      </c>
      <c r="AB74" s="27"/>
      <c r="AC74" s="27"/>
      <c r="AD74" s="27"/>
      <c r="AE74" s="27"/>
      <c r="AF74" s="36">
        <f>AVERAGE(Q74,V74,AA74)</f>
        <v>3.8664060538975198E-2</v>
      </c>
      <c r="AG74" s="27"/>
      <c r="AH74" s="27"/>
      <c r="AI74" s="27"/>
      <c r="AJ74" s="27"/>
      <c r="AK74" s="36">
        <f>AVERAGE(V74,AA74,AF74)</f>
        <v>3.5790621871911073E-2</v>
      </c>
      <c r="AL74" s="27"/>
      <c r="AM74" s="27"/>
      <c r="AN74" s="27"/>
      <c r="AO74" s="27"/>
      <c r="AP74" s="36">
        <f>AVERAGE(AA74,AF74,AK74)</f>
        <v>3.6781521537193239E-2</v>
      </c>
      <c r="AQ74" s="27"/>
      <c r="AR74" s="27"/>
      <c r="AS74" s="27"/>
      <c r="AT74" s="27"/>
      <c r="AU74" s="36">
        <f>AVERAGE(AF74,AK74,AP74)</f>
        <v>3.7078734649359839E-2</v>
      </c>
    </row>
    <row r="75" spans="1:47" outlineLevel="1" x14ac:dyDescent="0.25">
      <c r="A75" s="11" t="s">
        <v>125</v>
      </c>
      <c r="B75" s="9" t="s">
        <v>146</v>
      </c>
      <c r="D75" s="12">
        <v>818.9</v>
      </c>
      <c r="F75" s="12">
        <v>798.6</v>
      </c>
      <c r="G75" s="10">
        <f t="shared" si="640"/>
        <v>798.6</v>
      </c>
      <c r="I75" s="12">
        <v>158.6</v>
      </c>
      <c r="K75" s="12">
        <v>130.30000000000001</v>
      </c>
      <c r="L75" s="10">
        <f t="shared" si="641"/>
        <v>130.30000000000001</v>
      </c>
      <c r="N75" s="12">
        <v>132.80000000000001</v>
      </c>
      <c r="P75" s="12">
        <v>118.5</v>
      </c>
      <c r="Q75" s="10">
        <f t="shared" si="642"/>
        <v>118.5</v>
      </c>
      <c r="S75" s="12">
        <v>128.5</v>
      </c>
    </row>
    <row r="76" spans="1:47" outlineLevel="1" x14ac:dyDescent="0.25">
      <c r="A76" s="11" t="s">
        <v>126</v>
      </c>
      <c r="B76" s="9" t="s">
        <v>146</v>
      </c>
      <c r="D76" s="12">
        <v>0</v>
      </c>
      <c r="F76" s="12">
        <v>0</v>
      </c>
      <c r="G76" s="10">
        <f t="shared" si="640"/>
        <v>0</v>
      </c>
      <c r="I76" s="12">
        <v>405.2</v>
      </c>
      <c r="K76" s="12">
        <v>489.9</v>
      </c>
      <c r="L76" s="10">
        <f t="shared" si="641"/>
        <v>489.9</v>
      </c>
      <c r="N76" s="12">
        <v>740.5</v>
      </c>
      <c r="P76" s="12">
        <v>654.9</v>
      </c>
      <c r="Q76" s="10">
        <f t="shared" si="642"/>
        <v>654.9</v>
      </c>
      <c r="S76" s="12">
        <v>817.1</v>
      </c>
    </row>
    <row r="77" spans="1:47" outlineLevel="1" x14ac:dyDescent="0.25">
      <c r="A77" s="11" t="s">
        <v>127</v>
      </c>
      <c r="B77" s="9" t="s">
        <v>146</v>
      </c>
      <c r="D77" s="12">
        <v>0</v>
      </c>
      <c r="F77" s="12">
        <v>0</v>
      </c>
      <c r="G77" s="10">
        <f t="shared" si="640"/>
        <v>0</v>
      </c>
      <c r="I77" s="12">
        <v>0</v>
      </c>
      <c r="K77" s="12">
        <v>2.8</v>
      </c>
      <c r="L77" s="10">
        <f t="shared" si="641"/>
        <v>2.8</v>
      </c>
      <c r="N77" s="12">
        <v>23.1</v>
      </c>
      <c r="P77" s="12">
        <v>286.39999999999998</v>
      </c>
      <c r="Q77" s="10">
        <f t="shared" si="642"/>
        <v>286.39999999999998</v>
      </c>
      <c r="S77" s="12">
        <v>91.1</v>
      </c>
    </row>
    <row r="78" spans="1:47" outlineLevel="1" x14ac:dyDescent="0.25">
      <c r="A78" s="11" t="s">
        <v>82</v>
      </c>
      <c r="B78" s="9" t="s">
        <v>146</v>
      </c>
      <c r="D78" s="12">
        <v>187.6</v>
      </c>
      <c r="F78" s="12">
        <v>468.7</v>
      </c>
      <c r="G78" s="10">
        <f t="shared" si="640"/>
        <v>468.7</v>
      </c>
      <c r="I78" s="12">
        <v>1064.5999999999999</v>
      </c>
      <c r="K78" s="12">
        <v>925.4</v>
      </c>
      <c r="L78" s="10">
        <f t="shared" si="641"/>
        <v>925.4</v>
      </c>
      <c r="N78" s="12">
        <v>1709.9</v>
      </c>
      <c r="P78" s="12">
        <v>1754.9</v>
      </c>
      <c r="Q78" s="10">
        <f t="shared" si="642"/>
        <v>1754.9</v>
      </c>
      <c r="S78" s="12">
        <v>1625.5</v>
      </c>
    </row>
    <row r="79" spans="1:47" outlineLevel="1" x14ac:dyDescent="0.25">
      <c r="A79" s="11" t="s">
        <v>128</v>
      </c>
      <c r="B79" s="9" t="s">
        <v>146</v>
      </c>
      <c r="D79" s="12">
        <v>0</v>
      </c>
      <c r="F79" s="12">
        <v>0</v>
      </c>
      <c r="G79" s="10">
        <f t="shared" si="640"/>
        <v>0</v>
      </c>
      <c r="I79" s="12">
        <v>0</v>
      </c>
      <c r="K79" s="12">
        <v>0</v>
      </c>
      <c r="L79" s="10">
        <f t="shared" si="641"/>
        <v>0</v>
      </c>
      <c r="N79" s="12">
        <v>0</v>
      </c>
      <c r="P79" s="12">
        <v>63.5</v>
      </c>
      <c r="Q79" s="10">
        <f t="shared" si="642"/>
        <v>63.5</v>
      </c>
      <c r="S79" s="12">
        <v>0</v>
      </c>
    </row>
    <row r="80" spans="1:47" s="8" customFormat="1" x14ac:dyDescent="0.25">
      <c r="A80" s="4" t="s">
        <v>83</v>
      </c>
      <c r="B80" s="8" t="s">
        <v>146</v>
      </c>
      <c r="D80" s="20">
        <f>D65+D68+D69+D71+D73</f>
        <v>20542.8</v>
      </c>
      <c r="F80" s="20">
        <f>F65+F68+F69+F71+F73</f>
        <v>21482.399999999998</v>
      </c>
      <c r="G80" s="20">
        <f>G65+G68+G69+G71+G73</f>
        <v>21482.399999999998</v>
      </c>
      <c r="I80" s="20">
        <f>I65+I68+I69+I71+I73</f>
        <v>29027.1</v>
      </c>
      <c r="K80" s="20">
        <f>K65+K68+K69+K71+K73</f>
        <v>31339.9</v>
      </c>
      <c r="L80" s="20">
        <f>L65+L68+L69+L71+L73</f>
        <v>31339.9</v>
      </c>
      <c r="N80" s="20">
        <f>N65+N68+N69+N71+N73</f>
        <v>34659.5</v>
      </c>
      <c r="P80" s="20">
        <f>P65+P68+P69+P71+P73</f>
        <v>33087.799999999996</v>
      </c>
      <c r="Q80" s="20">
        <f>Q65+Q68+Q69+Q71+Q73</f>
        <v>33087.799999999996</v>
      </c>
      <c r="S80" s="20">
        <f>S65+S68+S69+S71+S73</f>
        <v>35364.199999999997</v>
      </c>
      <c r="V80" s="20">
        <f>V65+V68+V69+V71+V73</f>
        <v>40236.449140978664</v>
      </c>
      <c r="AA80" s="20">
        <f>AA65+AA68+AA69+AA71+AA73</f>
        <v>47279.739792442037</v>
      </c>
      <c r="AF80" s="20">
        <f>AF65+AF68+AF69+AF71+AF73</f>
        <v>55549.685523179476</v>
      </c>
      <c r="AK80" s="20">
        <f>AK65+AK68+AK69+AK71+AK73</f>
        <v>64103.062651687011</v>
      </c>
      <c r="AP80" s="20">
        <f>AP65+AP68+AP69+AP71+AP73</f>
        <v>73273.561677967184</v>
      </c>
      <c r="AU80" s="20">
        <f>AU65+AU68+AU69+AU71+AU73</f>
        <v>83198.009953506902</v>
      </c>
    </row>
    <row r="81" spans="1:47" x14ac:dyDescent="0.25">
      <c r="A81" s="3"/>
      <c r="D81" s="10"/>
      <c r="F81" s="10"/>
      <c r="I81" s="10"/>
      <c r="K81" s="10"/>
      <c r="N81" s="10"/>
      <c r="P81" s="10"/>
      <c r="S81" s="10"/>
    </row>
    <row r="82" spans="1:47" x14ac:dyDescent="0.25">
      <c r="A82" s="3" t="s">
        <v>84</v>
      </c>
      <c r="B82" s="9" t="s">
        <v>146</v>
      </c>
      <c r="D82" s="10">
        <f>D83+D84</f>
        <v>14787.4</v>
      </c>
      <c r="F82" s="10">
        <f>F83+F84</f>
        <v>15074.8</v>
      </c>
      <c r="G82" s="10">
        <f>G83+G84</f>
        <v>15074.8</v>
      </c>
      <c r="I82" s="10">
        <f>I83+I84</f>
        <v>10204.4</v>
      </c>
      <c r="K82" s="10">
        <f>K83+K84</f>
        <v>9368.2999999999993</v>
      </c>
      <c r="L82" s="10">
        <f>L83+L84</f>
        <v>9368.2999999999993</v>
      </c>
      <c r="N82" s="10">
        <f>N83+N84</f>
        <v>9486.7999999999993</v>
      </c>
      <c r="P82" s="10">
        <f>P83+P84</f>
        <v>10303.200000000001</v>
      </c>
      <c r="Q82" s="10">
        <f>Q83+Q84</f>
        <v>10303.200000000001</v>
      </c>
      <c r="S82" s="10">
        <f>S83+S84</f>
        <v>10881.1</v>
      </c>
      <c r="V82" s="10">
        <f>Q82+V27-V167-V169</f>
        <v>10941.311277359595</v>
      </c>
      <c r="AA82" s="10">
        <f>V82+AA27-AA167-AA169</f>
        <v>11740.881124512771</v>
      </c>
      <c r="AF82" s="10">
        <f>AA82+AF27-AF167-AF169</f>
        <v>12468.362548910975</v>
      </c>
      <c r="AK82" s="10">
        <f>AF82+AK27-AK167-AK169</f>
        <v>13130.765766760143</v>
      </c>
      <c r="AP82" s="10">
        <f>AK82+AP27-AP167-AP169</f>
        <v>13833.977362911104</v>
      </c>
      <c r="AU82" s="10">
        <f>AP82+AU27-AU167-AU169</f>
        <v>14474.358772469586</v>
      </c>
    </row>
    <row r="83" spans="1:47" hidden="1" outlineLevel="1" x14ac:dyDescent="0.25">
      <c r="A83" s="11" t="s">
        <v>133</v>
      </c>
      <c r="B83" s="9" t="s">
        <v>146</v>
      </c>
      <c r="D83" s="12">
        <v>14787.4</v>
      </c>
      <c r="F83" s="12">
        <v>15074.8</v>
      </c>
      <c r="G83" s="10">
        <f t="shared" ref="G83:G85" si="643">F83</f>
        <v>15074.8</v>
      </c>
      <c r="I83" s="12">
        <v>7553.9</v>
      </c>
      <c r="K83" s="12">
        <v>7891.2</v>
      </c>
      <c r="L83" s="10">
        <f t="shared" ref="L83:L85" si="644">K83</f>
        <v>7891.2</v>
      </c>
      <c r="N83" s="12">
        <v>7686.8</v>
      </c>
      <c r="P83" s="12">
        <v>8025.9</v>
      </c>
      <c r="Q83" s="10">
        <f t="shared" ref="Q83:Q85" si="645">P83</f>
        <v>8025.9</v>
      </c>
      <c r="S83" s="12">
        <v>8895.7000000000007</v>
      </c>
    </row>
    <row r="84" spans="1:47" hidden="1" outlineLevel="1" x14ac:dyDescent="0.25">
      <c r="A84" s="11" t="s">
        <v>134</v>
      </c>
      <c r="B84" s="9" t="s">
        <v>146</v>
      </c>
      <c r="D84" s="12">
        <v>0</v>
      </c>
      <c r="F84" s="12">
        <v>0</v>
      </c>
      <c r="G84" s="10">
        <f t="shared" si="643"/>
        <v>0</v>
      </c>
      <c r="I84" s="12">
        <v>2650.5</v>
      </c>
      <c r="K84" s="12">
        <v>1477.1</v>
      </c>
      <c r="L84" s="10">
        <f t="shared" si="644"/>
        <v>1477.1</v>
      </c>
      <c r="N84" s="12">
        <v>1800</v>
      </c>
      <c r="P84" s="12">
        <v>2277.3000000000002</v>
      </c>
      <c r="Q84" s="10">
        <f t="shared" si="645"/>
        <v>2277.3000000000002</v>
      </c>
      <c r="S84" s="12">
        <v>1985.4</v>
      </c>
    </row>
    <row r="85" spans="1:47" collapsed="1" x14ac:dyDescent="0.25">
      <c r="A85" s="3" t="s">
        <v>85</v>
      </c>
      <c r="B85" s="9" t="s">
        <v>146</v>
      </c>
      <c r="D85" s="12">
        <v>0</v>
      </c>
      <c r="F85" s="12">
        <v>0</v>
      </c>
      <c r="G85" s="10">
        <f t="shared" si="643"/>
        <v>0</v>
      </c>
      <c r="I85" s="12">
        <v>0</v>
      </c>
      <c r="K85" s="12">
        <v>0</v>
      </c>
      <c r="L85" s="10">
        <f t="shared" si="644"/>
        <v>0</v>
      </c>
      <c r="N85" s="12">
        <v>0</v>
      </c>
      <c r="P85" s="12">
        <v>250.3</v>
      </c>
      <c r="Q85" s="10">
        <f t="shared" si="645"/>
        <v>250.3</v>
      </c>
      <c r="S85" s="12">
        <v>227.6</v>
      </c>
      <c r="V85" s="10">
        <f>Q85-V138-V170-V171</f>
        <v>272.7</v>
      </c>
      <c r="AA85" s="10">
        <f>V85-AA138-AA170-AA171</f>
        <v>312.7</v>
      </c>
      <c r="AF85" s="10">
        <f>AA85-AF138-AF170-AF171</f>
        <v>352.7</v>
      </c>
      <c r="AK85" s="10">
        <f>AF85-AK138-AK170-AK171</f>
        <v>392.7</v>
      </c>
      <c r="AP85" s="10">
        <f>AK85-AP138-AP170-AP171</f>
        <v>432.7</v>
      </c>
      <c r="AU85" s="10">
        <f>AP85-AU138-AU170-AU171</f>
        <v>472.7</v>
      </c>
    </row>
    <row r="86" spans="1:47" x14ac:dyDescent="0.25">
      <c r="A86" s="3" t="s">
        <v>86</v>
      </c>
      <c r="B86" s="9" t="s">
        <v>146</v>
      </c>
      <c r="D86" s="10">
        <f>D87+D88+D89</f>
        <v>2269.4</v>
      </c>
      <c r="F86" s="10">
        <f>F87+F88+F89</f>
        <v>2156.1999999999998</v>
      </c>
      <c r="G86" s="10">
        <f>G87+G88+G89</f>
        <v>2156.1999999999998</v>
      </c>
      <c r="I86" s="10">
        <f>I87+I88+I89</f>
        <v>808.69999999999993</v>
      </c>
      <c r="K86" s="10">
        <f>K87+K88+K89</f>
        <v>960.19999999999993</v>
      </c>
      <c r="L86" s="10">
        <f>L87+L88+L89</f>
        <v>960.19999999999993</v>
      </c>
      <c r="N86" s="10">
        <f>N87+N88+N89</f>
        <v>820.9</v>
      </c>
      <c r="P86" s="10">
        <f>P87+P88+P89</f>
        <v>1507.1</v>
      </c>
      <c r="Q86" s="10">
        <f>Q87+Q88+Q89</f>
        <v>1507.1</v>
      </c>
      <c r="S86" s="10">
        <f>S87+S88+S89</f>
        <v>2295.6</v>
      </c>
      <c r="V86" s="10">
        <f>Q86</f>
        <v>1507.1</v>
      </c>
      <c r="AA86" s="10">
        <f>V86</f>
        <v>1507.1</v>
      </c>
      <c r="AF86" s="10">
        <f>AA86</f>
        <v>1507.1</v>
      </c>
      <c r="AK86" s="10">
        <f>AF86</f>
        <v>1507.1</v>
      </c>
      <c r="AP86" s="10">
        <f>AK86</f>
        <v>1507.1</v>
      </c>
      <c r="AU86" s="10">
        <f>AP86</f>
        <v>1507.1</v>
      </c>
    </row>
    <row r="87" spans="1:47" outlineLevel="1" x14ac:dyDescent="0.25">
      <c r="A87" s="11" t="s">
        <v>79</v>
      </c>
      <c r="B87" s="9" t="s">
        <v>146</v>
      </c>
      <c r="D87" s="12">
        <v>1241.5</v>
      </c>
      <c r="F87" s="12">
        <v>1178</v>
      </c>
      <c r="G87" s="10">
        <f t="shared" ref="G87:G91" si="646">F87</f>
        <v>1178</v>
      </c>
      <c r="I87" s="12">
        <v>473</v>
      </c>
      <c r="K87" s="12">
        <v>532.9</v>
      </c>
      <c r="L87" s="10">
        <f t="shared" ref="L87:L91" si="647">K87</f>
        <v>532.9</v>
      </c>
      <c r="N87" s="12">
        <v>407.9</v>
      </c>
      <c r="P87" s="12">
        <v>1059.9000000000001</v>
      </c>
      <c r="Q87" s="10">
        <f t="shared" ref="Q87:Q91" si="648">P87</f>
        <v>1059.9000000000001</v>
      </c>
      <c r="S87" s="12">
        <v>1818.6</v>
      </c>
    </row>
    <row r="88" spans="1:47" outlineLevel="1" x14ac:dyDescent="0.25">
      <c r="A88" s="11" t="s">
        <v>125</v>
      </c>
      <c r="B88" s="9" t="s">
        <v>146</v>
      </c>
      <c r="D88" s="12">
        <v>1027.9000000000001</v>
      </c>
      <c r="F88" s="12">
        <v>978.2</v>
      </c>
      <c r="G88" s="10">
        <f t="shared" si="646"/>
        <v>978.2</v>
      </c>
      <c r="I88" s="12">
        <v>209.8</v>
      </c>
      <c r="K88" s="12">
        <v>84.3</v>
      </c>
      <c r="L88" s="10">
        <f t="shared" si="647"/>
        <v>84.3</v>
      </c>
      <c r="N88" s="12">
        <v>76.5</v>
      </c>
      <c r="P88" s="12">
        <v>59.1</v>
      </c>
      <c r="Q88" s="10">
        <f t="shared" si="648"/>
        <v>59.1</v>
      </c>
      <c r="S88" s="12">
        <v>76.400000000000006</v>
      </c>
    </row>
    <row r="89" spans="1:47" outlineLevel="1" x14ac:dyDescent="0.25">
      <c r="A89" s="11" t="s">
        <v>126</v>
      </c>
      <c r="B89" s="9" t="s">
        <v>146</v>
      </c>
      <c r="D89" s="12">
        <v>0</v>
      </c>
      <c r="F89" s="12">
        <v>0</v>
      </c>
      <c r="G89" s="10">
        <f t="shared" si="646"/>
        <v>0</v>
      </c>
      <c r="I89" s="12">
        <v>125.9</v>
      </c>
      <c r="K89" s="12">
        <v>343</v>
      </c>
      <c r="L89" s="10">
        <f t="shared" si="647"/>
        <v>343</v>
      </c>
      <c r="N89" s="12">
        <v>336.5</v>
      </c>
      <c r="P89" s="12">
        <v>388.1</v>
      </c>
      <c r="Q89" s="10">
        <f t="shared" si="648"/>
        <v>388.1</v>
      </c>
      <c r="S89" s="12">
        <v>400.6</v>
      </c>
    </row>
    <row r="90" spans="1:47" x14ac:dyDescent="0.25">
      <c r="A90" s="3" t="s">
        <v>87</v>
      </c>
      <c r="B90" s="9" t="s">
        <v>146</v>
      </c>
      <c r="D90" s="12">
        <v>223.4</v>
      </c>
      <c r="F90" s="12">
        <v>239.3</v>
      </c>
      <c r="G90" s="10">
        <f t="shared" si="646"/>
        <v>239.3</v>
      </c>
      <c r="I90" s="12">
        <v>1097.5</v>
      </c>
      <c r="K90" s="12">
        <v>1338.3</v>
      </c>
      <c r="L90" s="10">
        <f t="shared" si="647"/>
        <v>1338.3</v>
      </c>
      <c r="N90" s="12">
        <v>1290.3</v>
      </c>
      <c r="P90" s="12">
        <v>1774.2</v>
      </c>
      <c r="Q90" s="10">
        <f t="shared" si="648"/>
        <v>1774.2</v>
      </c>
      <c r="S90" s="12">
        <v>1862.4</v>
      </c>
      <c r="V90" s="10">
        <f>Q90</f>
        <v>1774.2</v>
      </c>
      <c r="AA90" s="10">
        <f>V90</f>
        <v>1774.2</v>
      </c>
      <c r="AF90" s="10">
        <f>AA90</f>
        <v>1774.2</v>
      </c>
      <c r="AK90" s="10">
        <f>AF90</f>
        <v>1774.2</v>
      </c>
      <c r="AP90" s="10">
        <f>AK90</f>
        <v>1774.2</v>
      </c>
      <c r="AU90" s="10">
        <f>AP90</f>
        <v>1774.2</v>
      </c>
    </row>
    <row r="91" spans="1:47" x14ac:dyDescent="0.25">
      <c r="A91" s="3" t="s">
        <v>88</v>
      </c>
      <c r="B91" s="9" t="s">
        <v>146</v>
      </c>
      <c r="D91" s="12">
        <v>0</v>
      </c>
      <c r="F91" s="12">
        <v>0</v>
      </c>
      <c r="G91" s="10">
        <f t="shared" si="646"/>
        <v>0</v>
      </c>
      <c r="I91" s="12">
        <v>3696.7</v>
      </c>
      <c r="K91" s="12">
        <v>3523</v>
      </c>
      <c r="L91" s="10">
        <f t="shared" si="647"/>
        <v>3523</v>
      </c>
      <c r="N91" s="12">
        <v>3330.8</v>
      </c>
      <c r="P91" s="12">
        <v>3621.8</v>
      </c>
      <c r="Q91" s="10">
        <f t="shared" si="648"/>
        <v>3621.8</v>
      </c>
      <c r="S91" s="12">
        <v>3564.2</v>
      </c>
      <c r="V91" s="10">
        <f>Q91+V168</f>
        <v>3621.8</v>
      </c>
      <c r="AA91" s="10">
        <f>V91+AA168</f>
        <v>3621.8</v>
      </c>
      <c r="AF91" s="10">
        <f>AA91+AF168</f>
        <v>3621.8</v>
      </c>
      <c r="AK91" s="10">
        <f>AF91+AK168</f>
        <v>3621.8</v>
      </c>
      <c r="AP91" s="10">
        <f>AK91+AP168</f>
        <v>3621.8</v>
      </c>
      <c r="AU91" s="10">
        <f>AP91+AU168</f>
        <v>3621.8</v>
      </c>
    </row>
    <row r="92" spans="1:47" x14ac:dyDescent="0.25">
      <c r="A92" s="3" t="s">
        <v>89</v>
      </c>
      <c r="B92" s="9" t="s">
        <v>146</v>
      </c>
      <c r="D92" s="10">
        <f>D93+D94+D95</f>
        <v>19.3</v>
      </c>
      <c r="F92" s="10">
        <f>F93+F94+F95</f>
        <v>129.19999999999999</v>
      </c>
      <c r="G92" s="10">
        <f>G93+G94+G95</f>
        <v>129.19999999999999</v>
      </c>
      <c r="I92" s="10">
        <f>I93+I94+I95</f>
        <v>1138.4000000000001</v>
      </c>
      <c r="K92" s="10">
        <f>K93+K94+K95</f>
        <v>1212.2</v>
      </c>
      <c r="L92" s="10">
        <f>L93+L94+L95</f>
        <v>1212.2</v>
      </c>
      <c r="N92" s="10">
        <f>N93+N94+N95</f>
        <v>1365.3</v>
      </c>
      <c r="P92" s="10">
        <f>P93+P94+P95</f>
        <v>1500.2</v>
      </c>
      <c r="Q92" s="10">
        <f>Q93+Q94+Q95</f>
        <v>1500.2</v>
      </c>
      <c r="S92" s="10">
        <f>S93+S94+S95</f>
        <v>1525.8000000000002</v>
      </c>
      <c r="V92" s="10">
        <f>Q92</f>
        <v>1500.2</v>
      </c>
      <c r="AA92" s="10">
        <f>V92</f>
        <v>1500.2</v>
      </c>
      <c r="AF92" s="10">
        <f>AA92</f>
        <v>1500.2</v>
      </c>
      <c r="AK92" s="10">
        <f>AF92</f>
        <v>1500.2</v>
      </c>
      <c r="AP92" s="10">
        <f>AK92</f>
        <v>1500.2</v>
      </c>
      <c r="AU92" s="10">
        <f>AP92</f>
        <v>1500.2</v>
      </c>
    </row>
    <row r="93" spans="1:47" hidden="1" outlineLevel="1" x14ac:dyDescent="0.25">
      <c r="A93" s="11" t="s">
        <v>135</v>
      </c>
      <c r="B93" s="9" t="s">
        <v>146</v>
      </c>
      <c r="D93" s="12">
        <v>0</v>
      </c>
      <c r="F93" s="12">
        <v>0</v>
      </c>
      <c r="G93" s="10">
        <f t="shared" ref="G93:G95" si="649">F93</f>
        <v>0</v>
      </c>
      <c r="I93" s="12">
        <v>0</v>
      </c>
      <c r="K93" s="12">
        <v>421</v>
      </c>
      <c r="L93" s="10">
        <f t="shared" ref="L93:L95" si="650">K93</f>
        <v>421</v>
      </c>
      <c r="N93" s="12">
        <v>402</v>
      </c>
      <c r="P93" s="12">
        <v>648.20000000000005</v>
      </c>
      <c r="Q93" s="10">
        <f t="shared" ref="Q93:Q95" si="651">P93</f>
        <v>648.20000000000005</v>
      </c>
      <c r="S93" s="12">
        <v>563.20000000000005</v>
      </c>
    </row>
    <row r="94" spans="1:47" hidden="1" outlineLevel="1" x14ac:dyDescent="0.25">
      <c r="A94" s="11" t="s">
        <v>136</v>
      </c>
      <c r="B94" s="9" t="s">
        <v>146</v>
      </c>
      <c r="D94" s="12">
        <v>0</v>
      </c>
      <c r="F94" s="12">
        <v>32.200000000000003</v>
      </c>
      <c r="G94" s="10">
        <f t="shared" si="649"/>
        <v>32.200000000000003</v>
      </c>
      <c r="I94" s="12">
        <v>0</v>
      </c>
      <c r="K94" s="12">
        <v>37.6</v>
      </c>
      <c r="L94" s="10">
        <f t="shared" si="650"/>
        <v>37.6</v>
      </c>
      <c r="N94" s="12">
        <v>50.5</v>
      </c>
      <c r="P94" s="12">
        <v>58.6</v>
      </c>
      <c r="Q94" s="10">
        <f t="shared" si="651"/>
        <v>58.6</v>
      </c>
      <c r="S94" s="12">
        <v>71.400000000000006</v>
      </c>
    </row>
    <row r="95" spans="1:47" hidden="1" outlineLevel="1" x14ac:dyDescent="0.25">
      <c r="A95" s="11" t="s">
        <v>89</v>
      </c>
      <c r="B95" s="9" t="s">
        <v>146</v>
      </c>
      <c r="D95" s="12">
        <v>19.3</v>
      </c>
      <c r="F95" s="12">
        <v>97</v>
      </c>
      <c r="G95" s="10">
        <f t="shared" si="649"/>
        <v>97</v>
      </c>
      <c r="I95" s="12">
        <v>1138.4000000000001</v>
      </c>
      <c r="K95" s="12">
        <v>753.6</v>
      </c>
      <c r="L95" s="10">
        <f t="shared" si="650"/>
        <v>753.6</v>
      </c>
      <c r="N95" s="12">
        <v>912.8</v>
      </c>
      <c r="P95" s="12">
        <v>793.4</v>
      </c>
      <c r="Q95" s="10">
        <f t="shared" si="651"/>
        <v>793.4</v>
      </c>
      <c r="S95" s="12">
        <v>891.2</v>
      </c>
    </row>
    <row r="96" spans="1:47" s="8" customFormat="1" collapsed="1" x14ac:dyDescent="0.25">
      <c r="A96" s="4" t="s">
        <v>90</v>
      </c>
      <c r="B96" s="8" t="s">
        <v>146</v>
      </c>
      <c r="D96" s="20">
        <f>D82+D85+D86+D90+D91+D92</f>
        <v>17299.5</v>
      </c>
      <c r="F96" s="20">
        <f>F82+F85+F86+F90+F91+F92</f>
        <v>17599.5</v>
      </c>
      <c r="G96" s="20">
        <f>G82+G85+G86+G90+G91+G92</f>
        <v>17599.5</v>
      </c>
      <c r="I96" s="20">
        <f>I82+I85+I86+I90+I91+I92</f>
        <v>16945.7</v>
      </c>
      <c r="K96" s="20">
        <f>K82+K85+K86+K90+K91+K92</f>
        <v>16402</v>
      </c>
      <c r="L96" s="20">
        <f>L82+L85+L86+L90+L91+L92</f>
        <v>16402</v>
      </c>
      <c r="N96" s="20">
        <f>N82+N85+N86+N90+N91+N92</f>
        <v>16294.099999999999</v>
      </c>
      <c r="P96" s="20">
        <f>P82+P85+P86+P90+P91+P92</f>
        <v>18956.800000000003</v>
      </c>
      <c r="Q96" s="20">
        <f>Q82+Q85+Q86+Q90+Q91+Q92</f>
        <v>18956.800000000003</v>
      </c>
      <c r="S96" s="20">
        <f>S82+S85+S86+S90+S91+S92</f>
        <v>20356.7</v>
      </c>
      <c r="V96" s="20">
        <f>V82+V85+V86+V90+V91+V92</f>
        <v>19617.311277359597</v>
      </c>
      <c r="AA96" s="20">
        <f>AA82+AA85+AA86+AA90+AA91+AA92</f>
        <v>20456.881124512773</v>
      </c>
      <c r="AF96" s="20">
        <f>AF82+AF85+AF86+AF90+AF91+AF92</f>
        <v>21224.362548910976</v>
      </c>
      <c r="AK96" s="20">
        <f>AK82+AK85+AK86+AK90+AK91+AK92</f>
        <v>21926.765766760145</v>
      </c>
      <c r="AP96" s="20">
        <f>AP82+AP85+AP86+AP90+AP91+AP92</f>
        <v>22669.977362911104</v>
      </c>
      <c r="AU96" s="20">
        <f>AU82+AU85+AU86+AU90+AU91+AU92</f>
        <v>23350.358772469586</v>
      </c>
    </row>
    <row r="97" spans="1:47" x14ac:dyDescent="0.25">
      <c r="A97" s="3"/>
      <c r="D97" s="10"/>
      <c r="F97" s="10"/>
      <c r="I97" s="10"/>
      <c r="K97" s="10"/>
      <c r="N97" s="10"/>
      <c r="P97" s="10"/>
      <c r="S97" s="10"/>
    </row>
    <row r="98" spans="1:47" s="8" customFormat="1" x14ac:dyDescent="0.25">
      <c r="A98" s="4" t="s">
        <v>91</v>
      </c>
      <c r="B98" s="8" t="s">
        <v>146</v>
      </c>
      <c r="D98" s="20">
        <f>D80+D96</f>
        <v>37842.300000000003</v>
      </c>
      <c r="F98" s="20">
        <f>F80+F96</f>
        <v>39081.899999999994</v>
      </c>
      <c r="G98" s="20">
        <f>G80+G96</f>
        <v>39081.899999999994</v>
      </c>
      <c r="I98" s="20">
        <f>I80+I96</f>
        <v>45972.800000000003</v>
      </c>
      <c r="K98" s="20">
        <f>K80+K96</f>
        <v>47741.9</v>
      </c>
      <c r="L98" s="20">
        <f>L80+L96</f>
        <v>47741.9</v>
      </c>
      <c r="N98" s="20">
        <f>N80+N96</f>
        <v>50953.599999999999</v>
      </c>
      <c r="P98" s="20">
        <f>P80+P96</f>
        <v>52044.6</v>
      </c>
      <c r="Q98" s="20">
        <f>Q80+Q96</f>
        <v>52044.6</v>
      </c>
      <c r="S98" s="20">
        <f>S80+S96</f>
        <v>55720.899999999994</v>
      </c>
      <c r="V98" s="20">
        <f>V80+V96</f>
        <v>59853.760418338265</v>
      </c>
      <c r="AA98" s="20">
        <f>AA80+AA96</f>
        <v>67736.620916954809</v>
      </c>
      <c r="AF98" s="20">
        <f>AF80+AF96</f>
        <v>76774.04807209046</v>
      </c>
      <c r="AK98" s="20">
        <f>AK80+AK96</f>
        <v>86029.828418447156</v>
      </c>
      <c r="AP98" s="20">
        <f>AP80+AP96</f>
        <v>95943.539040878284</v>
      </c>
      <c r="AU98" s="20">
        <f>AU80+AU96</f>
        <v>106548.36872597648</v>
      </c>
    </row>
    <row r="99" spans="1:47" x14ac:dyDescent="0.25">
      <c r="A99" s="3"/>
      <c r="D99" s="10"/>
      <c r="F99" s="10"/>
      <c r="I99" s="10"/>
      <c r="K99" s="10"/>
      <c r="N99" s="10"/>
      <c r="P99" s="10"/>
      <c r="S99" s="10"/>
    </row>
    <row r="100" spans="1:47" x14ac:dyDescent="0.25">
      <c r="A100" s="3" t="s">
        <v>171</v>
      </c>
      <c r="B100" s="9" t="s">
        <v>146</v>
      </c>
      <c r="D100" s="12">
        <v>540.4</v>
      </c>
      <c r="F100" s="12">
        <v>749.2</v>
      </c>
      <c r="G100" s="10">
        <f t="shared" ref="G100" si="652">F100</f>
        <v>749.2</v>
      </c>
      <c r="I100" s="12">
        <v>922.5</v>
      </c>
      <c r="K100" s="12">
        <v>926.6</v>
      </c>
      <c r="L100" s="10">
        <f t="shared" ref="L100" si="653">K100</f>
        <v>926.6</v>
      </c>
      <c r="N100" s="12">
        <v>861.1</v>
      </c>
      <c r="P100" s="12">
        <v>1154.4000000000001</v>
      </c>
      <c r="Q100" s="10">
        <f t="shared" ref="Q100" si="654">P100</f>
        <v>1154.4000000000001</v>
      </c>
      <c r="S100" s="12">
        <v>956.6</v>
      </c>
      <c r="V100" s="10">
        <f>Q100</f>
        <v>1154.4000000000001</v>
      </c>
      <c r="AA100" s="10">
        <f>V100</f>
        <v>1154.4000000000001</v>
      </c>
      <c r="AF100" s="10">
        <f>AA100</f>
        <v>1154.4000000000001</v>
      </c>
      <c r="AK100" s="10">
        <f>AF100</f>
        <v>1154.4000000000001</v>
      </c>
      <c r="AP100" s="10">
        <f>AK100</f>
        <v>1154.4000000000001</v>
      </c>
      <c r="AU100" s="10">
        <f>AP100</f>
        <v>1154.4000000000001</v>
      </c>
    </row>
    <row r="101" spans="1:47" x14ac:dyDescent="0.25">
      <c r="A101" s="3" t="s">
        <v>92</v>
      </c>
      <c r="B101" s="9" t="s">
        <v>146</v>
      </c>
      <c r="D101" s="10">
        <f>D103+D104</f>
        <v>3748.7</v>
      </c>
      <c r="F101" s="10">
        <f>F103+F104</f>
        <v>3791.6</v>
      </c>
      <c r="G101" s="10">
        <f>G103+G104</f>
        <v>3791.6</v>
      </c>
      <c r="I101" s="10">
        <f>I103+I104</f>
        <v>4200.1000000000004</v>
      </c>
      <c r="K101" s="10">
        <f>K103+K104</f>
        <v>3903.2</v>
      </c>
      <c r="L101" s="10">
        <f>L103+L104</f>
        <v>3903.2</v>
      </c>
      <c r="N101" s="10">
        <f>N103+N104</f>
        <v>4610.5</v>
      </c>
      <c r="P101" s="10">
        <f>P103+P104</f>
        <v>5438.1</v>
      </c>
      <c r="Q101" s="10">
        <f>Q103+Q104</f>
        <v>5438.1</v>
      </c>
      <c r="S101" s="10">
        <f>S103+S104</f>
        <v>6397.5</v>
      </c>
      <c r="V101" s="10">
        <f>-IFERROR((V14*V102)/V5,"na")</f>
        <v>5614.3631051802658</v>
      </c>
      <c r="AA101" s="10">
        <f>-IFERROR((AA14*AA102)/AA5,"na")</f>
        <v>5783.9913407655977</v>
      </c>
      <c r="AF101" s="10">
        <f>-IFERROR((AF14*AF102)/AF5,"na")</f>
        <v>6342.4153637427316</v>
      </c>
      <c r="AK101" s="10">
        <f>-IFERROR((AK14*AK102)/AK5,"na")</f>
        <v>6644.4923393282743</v>
      </c>
      <c r="AP101" s="10">
        <f>-IFERROR((AP14*AP102)/AP5,"na")</f>
        <v>7107.1907183847743</v>
      </c>
      <c r="AU101" s="10">
        <f>-IFERROR((AU14*AU102)/AU5,"na")</f>
        <v>7582.6234187448317</v>
      </c>
    </row>
    <row r="102" spans="1:47" s="21" customFormat="1" x14ac:dyDescent="0.25">
      <c r="A102" s="31" t="s">
        <v>160</v>
      </c>
      <c r="B102" s="21" t="s">
        <v>158</v>
      </c>
      <c r="D102" s="22"/>
      <c r="F102" s="22"/>
      <c r="G102" s="22">
        <f>-IFERROR((AVERAGE(G101)/G14)*G5,"na")</f>
        <v>53.656791555504007</v>
      </c>
      <c r="I102" s="32"/>
      <c r="K102" s="32"/>
      <c r="L102" s="22">
        <f>-IFERROR((AVERAGE(L101,G101)/L14)*L5,"na")</f>
        <v>53.202086711421593</v>
      </c>
      <c r="N102" s="32"/>
      <c r="P102" s="32"/>
      <c r="Q102" s="22">
        <f>-IFERROR((AVERAGE(Q101,L101)/Q14)*Q5,"na")</f>
        <v>59.037184215538588</v>
      </c>
      <c r="S102" s="32"/>
      <c r="V102" s="33">
        <v>56</v>
      </c>
      <c r="AA102" s="33">
        <f>V102</f>
        <v>56</v>
      </c>
      <c r="AF102" s="33">
        <f>AA102</f>
        <v>56</v>
      </c>
      <c r="AK102" s="33">
        <f>AF102</f>
        <v>56</v>
      </c>
      <c r="AP102" s="33">
        <f>AVERAGE(AA102,AF102,AK102)</f>
        <v>56</v>
      </c>
      <c r="AU102" s="33">
        <f>AP102</f>
        <v>56</v>
      </c>
    </row>
    <row r="103" spans="1:47" hidden="1" outlineLevel="1" x14ac:dyDescent="0.25">
      <c r="A103" s="11" t="s">
        <v>139</v>
      </c>
      <c r="B103" s="9" t="s">
        <v>146</v>
      </c>
      <c r="D103" s="12">
        <v>0</v>
      </c>
      <c r="F103" s="12">
        <v>0</v>
      </c>
      <c r="G103" s="10">
        <f t="shared" ref="G103:G104" si="655">F103</f>
        <v>0</v>
      </c>
      <c r="I103" s="12">
        <v>0</v>
      </c>
      <c r="K103" s="12">
        <v>0</v>
      </c>
      <c r="L103" s="10">
        <f t="shared" ref="L103:L104" si="656">K103</f>
        <v>0</v>
      </c>
      <c r="N103" s="12">
        <v>0</v>
      </c>
      <c r="P103" s="12">
        <v>0</v>
      </c>
      <c r="Q103" s="10">
        <f t="shared" ref="Q103:Q104" si="657">P103</f>
        <v>0</v>
      </c>
      <c r="S103" s="12">
        <v>259.2</v>
      </c>
    </row>
    <row r="104" spans="1:47" hidden="1" outlineLevel="1" x14ac:dyDescent="0.25">
      <c r="A104" s="11" t="s">
        <v>140</v>
      </c>
      <c r="B104" s="9" t="s">
        <v>146</v>
      </c>
      <c r="D104" s="12">
        <v>3748.7</v>
      </c>
      <c r="F104" s="12">
        <v>3791.6</v>
      </c>
      <c r="G104" s="10">
        <f t="shared" si="655"/>
        <v>3791.6</v>
      </c>
      <c r="I104" s="12">
        <v>4200.1000000000004</v>
      </c>
      <c r="K104" s="12">
        <v>3903.2</v>
      </c>
      <c r="L104" s="10">
        <f t="shared" si="656"/>
        <v>3903.2</v>
      </c>
      <c r="N104" s="12">
        <v>4610.5</v>
      </c>
      <c r="P104" s="12">
        <v>5438.1</v>
      </c>
      <c r="Q104" s="10">
        <f t="shared" si="657"/>
        <v>5438.1</v>
      </c>
      <c r="S104" s="12">
        <v>6138.3</v>
      </c>
    </row>
    <row r="105" spans="1:47" collapsed="1" x14ac:dyDescent="0.25">
      <c r="A105" s="3" t="s">
        <v>93</v>
      </c>
      <c r="B105" s="9" t="s">
        <v>146</v>
      </c>
      <c r="D105" s="10">
        <f>D107+D108+D109+D110</f>
        <v>5379.5</v>
      </c>
      <c r="F105" s="10">
        <f>F107+F108+F109+F110</f>
        <v>5073.5</v>
      </c>
      <c r="G105" s="10">
        <f>G107+G108+G109+G110</f>
        <v>5073.5</v>
      </c>
      <c r="I105" s="10">
        <f>I107+I108+I109+I110</f>
        <v>6361.6</v>
      </c>
      <c r="K105" s="10">
        <f>K107+K108+K109+K110</f>
        <v>5394.2999999999993</v>
      </c>
      <c r="L105" s="10">
        <f>L107+L108+L109+L110</f>
        <v>5394.2999999999993</v>
      </c>
      <c r="N105" s="10">
        <f>N107+N108+N109+N110</f>
        <v>6000.5999999999995</v>
      </c>
      <c r="P105" s="10">
        <f>P107+P108+P109+P110</f>
        <v>5489.7999999999993</v>
      </c>
      <c r="Q105" s="10">
        <f>Q107+Q108+Q109+Q110</f>
        <v>5489.7999999999993</v>
      </c>
      <c r="S105" s="10">
        <f>S107+S108+S109+S110</f>
        <v>6713.9000000000005</v>
      </c>
      <c r="V105" s="10">
        <f>IFERROR(V9*V106,"na")</f>
        <v>6853.1610212565492</v>
      </c>
      <c r="AA105" s="10">
        <f>IFERROR(AA9*AA106,"na")</f>
        <v>7232.0522913680425</v>
      </c>
      <c r="AF105" s="10">
        <f>IFERROR(AF9*AF106,"na")</f>
        <v>7844.0394871713788</v>
      </c>
      <c r="AK105" s="10">
        <f>IFERROR(AK9*AK106,"na")</f>
        <v>8472.6928435050595</v>
      </c>
      <c r="AP105" s="10">
        <f>IFERROR(AP9*AP106,"na")</f>
        <v>9027.5262628912569</v>
      </c>
      <c r="AU105" s="10">
        <f>IFERROR(AU9*AU106,"na")</f>
        <v>9650.9071785984925</v>
      </c>
    </row>
    <row r="106" spans="1:47" s="21" customFormat="1" x14ac:dyDescent="0.25">
      <c r="A106" s="37" t="s">
        <v>148</v>
      </c>
      <c r="B106" s="35" t="s">
        <v>145</v>
      </c>
      <c r="C106" s="35"/>
      <c r="D106" s="38"/>
      <c r="E106" s="35"/>
      <c r="F106" s="38"/>
      <c r="G106" s="29">
        <f>IFERROR(G105/G9,"na")</f>
        <v>9.4488262298745684E-2</v>
      </c>
      <c r="H106" s="35"/>
      <c r="I106" s="38"/>
      <c r="J106" s="35"/>
      <c r="K106" s="38"/>
      <c r="L106" s="29">
        <f>IFERROR(L105/L9,"na")</f>
        <v>9.603884069014508E-2</v>
      </c>
      <c r="M106" s="35"/>
      <c r="N106" s="38"/>
      <c r="O106" s="35"/>
      <c r="P106" s="38"/>
      <c r="Q106" s="29">
        <f>IFERROR(Q105/Q9,"na")</f>
        <v>9.0188927221948406E-2</v>
      </c>
      <c r="S106" s="22"/>
      <c r="V106" s="36">
        <v>9.5000000000000001E-2</v>
      </c>
      <c r="W106" s="27"/>
      <c r="X106" s="27"/>
      <c r="Y106" s="27"/>
      <c r="Z106" s="27"/>
      <c r="AA106" s="36">
        <f>AVERAGE(L106,Q106,V106)</f>
        <v>9.3742589304031163E-2</v>
      </c>
      <c r="AB106" s="27"/>
      <c r="AC106" s="27"/>
      <c r="AD106" s="27"/>
      <c r="AE106" s="27"/>
      <c r="AF106" s="36">
        <f>AVERAGE(Q106,V106,AA106)</f>
        <v>9.2977172175326528E-2</v>
      </c>
      <c r="AG106" s="27"/>
      <c r="AH106" s="27"/>
      <c r="AI106" s="27"/>
      <c r="AJ106" s="27"/>
      <c r="AK106" s="36">
        <f>AVERAGE(V106,AA106,AF106)</f>
        <v>9.3906587159785893E-2</v>
      </c>
      <c r="AL106" s="27"/>
      <c r="AM106" s="27"/>
      <c r="AN106" s="27"/>
      <c r="AO106" s="27"/>
      <c r="AP106" s="36">
        <f>AVERAGE(AA106,AF106,AK106)</f>
        <v>9.3542116213047866E-2</v>
      </c>
      <c r="AQ106" s="27"/>
      <c r="AR106" s="27"/>
      <c r="AS106" s="27"/>
      <c r="AT106" s="27"/>
      <c r="AU106" s="36">
        <f>AVERAGE(AF106,AK106,AP106)</f>
        <v>9.3475291849386757E-2</v>
      </c>
    </row>
    <row r="107" spans="1:47" hidden="1" outlineLevel="1" x14ac:dyDescent="0.25">
      <c r="A107" s="11" t="s">
        <v>137</v>
      </c>
      <c r="B107" s="9" t="s">
        <v>146</v>
      </c>
      <c r="D107" s="12">
        <v>0</v>
      </c>
      <c r="F107" s="12">
        <v>0</v>
      </c>
      <c r="G107" s="10">
        <f t="shared" ref="G107:G110" si="658">F107</f>
        <v>0</v>
      </c>
      <c r="I107" s="12">
        <v>3856.4</v>
      </c>
      <c r="K107" s="12">
        <v>4182.8999999999996</v>
      </c>
      <c r="L107" s="10">
        <f t="shared" ref="L107:L110" si="659">K107</f>
        <v>4182.8999999999996</v>
      </c>
      <c r="N107" s="12">
        <v>4004.2</v>
      </c>
      <c r="P107" s="12">
        <v>4431.2</v>
      </c>
      <c r="Q107" s="10">
        <f t="shared" ref="Q107:Q110" si="660">P107</f>
        <v>4431.2</v>
      </c>
      <c r="S107" s="12">
        <v>4605.5</v>
      </c>
    </row>
    <row r="108" spans="1:47" hidden="1" outlineLevel="1" x14ac:dyDescent="0.25">
      <c r="A108" s="11" t="s">
        <v>93</v>
      </c>
      <c r="B108" s="9" t="s">
        <v>146</v>
      </c>
      <c r="D108" s="12">
        <v>4241.3999999999996</v>
      </c>
      <c r="F108" s="12">
        <v>4508.7</v>
      </c>
      <c r="G108" s="10">
        <f t="shared" si="658"/>
        <v>4508.7</v>
      </c>
      <c r="I108" s="12">
        <v>1318.2</v>
      </c>
      <c r="K108" s="12">
        <v>900.4</v>
      </c>
      <c r="L108" s="10">
        <f t="shared" si="659"/>
        <v>900.4</v>
      </c>
      <c r="N108" s="12">
        <v>1083.0999999999999</v>
      </c>
      <c r="P108" s="12">
        <v>790.9</v>
      </c>
      <c r="Q108" s="10">
        <f t="shared" si="660"/>
        <v>790.9</v>
      </c>
      <c r="S108" s="12">
        <v>1012.5</v>
      </c>
    </row>
    <row r="109" spans="1:47" hidden="1" outlineLevel="1" x14ac:dyDescent="0.25">
      <c r="A109" s="11" t="s">
        <v>96</v>
      </c>
      <c r="B109" s="9" t="s">
        <v>146</v>
      </c>
      <c r="D109" s="12">
        <v>1138.0999999999999</v>
      </c>
      <c r="F109" s="12">
        <v>564.79999999999995</v>
      </c>
      <c r="G109" s="10">
        <f t="shared" si="658"/>
        <v>564.79999999999995</v>
      </c>
      <c r="I109" s="12">
        <v>321.60000000000002</v>
      </c>
      <c r="K109" s="12">
        <v>141.4</v>
      </c>
      <c r="L109" s="10">
        <f t="shared" si="659"/>
        <v>141.4</v>
      </c>
      <c r="N109" s="12">
        <v>212.5</v>
      </c>
      <c r="P109" s="12">
        <v>130.69999999999999</v>
      </c>
      <c r="Q109" s="10">
        <f t="shared" si="660"/>
        <v>130.69999999999999</v>
      </c>
      <c r="S109" s="12">
        <v>197.6</v>
      </c>
    </row>
    <row r="110" spans="1:47" hidden="1" outlineLevel="1" x14ac:dyDescent="0.25">
      <c r="A110" s="11" t="s">
        <v>138</v>
      </c>
      <c r="B110" s="9" t="s">
        <v>146</v>
      </c>
      <c r="D110" s="12">
        <v>0</v>
      </c>
      <c r="F110" s="12">
        <v>0</v>
      </c>
      <c r="G110" s="10">
        <f t="shared" si="658"/>
        <v>0</v>
      </c>
      <c r="I110" s="12">
        <v>865.4</v>
      </c>
      <c r="K110" s="12">
        <v>169.6</v>
      </c>
      <c r="L110" s="10">
        <f t="shared" si="659"/>
        <v>169.6</v>
      </c>
      <c r="N110" s="12">
        <v>700.8</v>
      </c>
      <c r="P110" s="12">
        <v>137</v>
      </c>
      <c r="Q110" s="10">
        <f t="shared" si="660"/>
        <v>137</v>
      </c>
      <c r="S110" s="12">
        <v>898.3</v>
      </c>
    </row>
    <row r="111" spans="1:47" s="8" customFormat="1" collapsed="1" x14ac:dyDescent="0.25">
      <c r="A111" s="4" t="s">
        <v>94</v>
      </c>
      <c r="B111" s="8" t="s">
        <v>146</v>
      </c>
      <c r="D111" s="20">
        <f>D100+D101+D105</f>
        <v>9668.5999999999985</v>
      </c>
      <c r="F111" s="20">
        <f>F100+F101+F105</f>
        <v>9614.2999999999993</v>
      </c>
      <c r="G111" s="20">
        <f>G100+G101+G105</f>
        <v>9614.2999999999993</v>
      </c>
      <c r="I111" s="20">
        <f>I100+I101+I105</f>
        <v>11484.2</v>
      </c>
      <c r="K111" s="20">
        <f>K100+K101+K105</f>
        <v>10224.099999999999</v>
      </c>
      <c r="L111" s="20">
        <f>L100+L101+L105</f>
        <v>10224.099999999999</v>
      </c>
      <c r="N111" s="20">
        <f>N100+N101+N105</f>
        <v>11472.2</v>
      </c>
      <c r="P111" s="20">
        <f>P100+P101+P105</f>
        <v>12082.3</v>
      </c>
      <c r="Q111" s="20">
        <f>Q100+Q101+Q105</f>
        <v>12082.3</v>
      </c>
      <c r="S111" s="20">
        <f>S100+S101+S105</f>
        <v>14068</v>
      </c>
      <c r="V111" s="20">
        <f>V100+V101+V105</f>
        <v>13621.924126436814</v>
      </c>
      <c r="AA111" s="20">
        <f>AA100+AA101+AA105</f>
        <v>14170.44363213364</v>
      </c>
      <c r="AF111" s="20">
        <f>AF100+AF101+AF105</f>
        <v>15340.854850914111</v>
      </c>
      <c r="AK111" s="20">
        <f>AK100+AK101+AK105</f>
        <v>16271.585182833334</v>
      </c>
      <c r="AP111" s="20">
        <f>AP100+AP101+AP105</f>
        <v>17289.116981276031</v>
      </c>
      <c r="AU111" s="20">
        <f>AU100+AU101+AU105</f>
        <v>18387.930597343322</v>
      </c>
    </row>
    <row r="112" spans="1:47" x14ac:dyDescent="0.25">
      <c r="A112" s="3"/>
      <c r="D112" s="10"/>
      <c r="F112" s="10"/>
      <c r="I112" s="10"/>
      <c r="K112" s="10"/>
      <c r="N112" s="10"/>
      <c r="P112" s="10"/>
      <c r="S112" s="10"/>
    </row>
    <row r="113" spans="1:47" x14ac:dyDescent="0.25">
      <c r="A113" s="3" t="s">
        <v>95</v>
      </c>
      <c r="B113" s="9" t="s">
        <v>146</v>
      </c>
      <c r="D113" s="12">
        <v>21.5</v>
      </c>
      <c r="F113" s="12">
        <v>93.6</v>
      </c>
      <c r="G113" s="10">
        <f t="shared" ref="G113:G115" si="661">F113</f>
        <v>93.6</v>
      </c>
      <c r="I113" s="12">
        <v>78.3</v>
      </c>
      <c r="K113" s="12">
        <v>48.5</v>
      </c>
      <c r="L113" s="10">
        <f t="shared" ref="L113:L115" si="662">K113</f>
        <v>48.5</v>
      </c>
      <c r="N113" s="12">
        <v>58.9</v>
      </c>
      <c r="P113" s="12">
        <v>71.099999999999994</v>
      </c>
      <c r="Q113" s="10">
        <f t="shared" ref="Q113:Q115" si="663">P113</f>
        <v>71.099999999999994</v>
      </c>
      <c r="S113" s="12">
        <v>108.5</v>
      </c>
      <c r="V113" s="10">
        <f>Q113+V186+(V100-Q100)</f>
        <v>71.099999999999994</v>
      </c>
      <c r="AA113" s="10">
        <f>V113+AA186+(AA100-V100)</f>
        <v>71.099999999999994</v>
      </c>
      <c r="AF113" s="10">
        <f>AA113+AF186+(AF100-AA100)</f>
        <v>71.099999999999994</v>
      </c>
      <c r="AK113" s="10">
        <f>AF113+AK186+(AK100-AF100)</f>
        <v>71.099999999999994</v>
      </c>
      <c r="AP113" s="10">
        <f>AK113+AP186+(AP100-AK100)</f>
        <v>71.099999999999994</v>
      </c>
      <c r="AU113" s="10">
        <f>AP113+AU186+(AU100-AP100)</f>
        <v>71.099999999999994</v>
      </c>
    </row>
    <row r="114" spans="1:47" x14ac:dyDescent="0.25">
      <c r="A114" s="3" t="s">
        <v>96</v>
      </c>
      <c r="B114" s="9" t="s">
        <v>146</v>
      </c>
      <c r="D114" s="12">
        <v>253.8</v>
      </c>
      <c r="F114" s="12">
        <v>292.7</v>
      </c>
      <c r="G114" s="10">
        <f t="shared" si="661"/>
        <v>292.7</v>
      </c>
      <c r="I114" s="12">
        <v>268.60000000000002</v>
      </c>
      <c r="K114" s="12">
        <v>327.8</v>
      </c>
      <c r="L114" s="10">
        <f t="shared" si="662"/>
        <v>327.8</v>
      </c>
      <c r="N114" s="12">
        <v>314.7</v>
      </c>
      <c r="P114" s="12">
        <v>381.7</v>
      </c>
      <c r="Q114" s="10">
        <f t="shared" si="663"/>
        <v>381.7</v>
      </c>
      <c r="S114" s="12">
        <v>390.3</v>
      </c>
      <c r="V114" s="10">
        <f t="shared" ref="V114:V115" si="664">Q114</f>
        <v>381.7</v>
      </c>
      <c r="AA114" s="10">
        <f t="shared" ref="AA114:AA116" si="665">V114</f>
        <v>381.7</v>
      </c>
      <c r="AF114" s="10">
        <f t="shared" ref="AF114:AF116" si="666">AA114</f>
        <v>381.7</v>
      </c>
      <c r="AK114" s="10">
        <f t="shared" ref="AK114:AK116" si="667">AF114</f>
        <v>381.7</v>
      </c>
      <c r="AP114" s="10">
        <f t="shared" ref="AP114:AP116" si="668">AK114</f>
        <v>381.7</v>
      </c>
      <c r="AU114" s="10">
        <f t="shared" ref="AU114:AU116" si="669">AP114</f>
        <v>381.7</v>
      </c>
    </row>
    <row r="115" spans="1:47" x14ac:dyDescent="0.25">
      <c r="A115" s="3" t="s">
        <v>97</v>
      </c>
      <c r="B115" s="9" t="s">
        <v>146</v>
      </c>
      <c r="D115" s="12">
        <v>0</v>
      </c>
      <c r="F115" s="12">
        <v>0</v>
      </c>
      <c r="G115" s="10">
        <f t="shared" si="661"/>
        <v>0</v>
      </c>
      <c r="I115" s="12">
        <v>0</v>
      </c>
      <c r="K115" s="12">
        <v>0</v>
      </c>
      <c r="L115" s="10">
        <f t="shared" si="662"/>
        <v>0</v>
      </c>
      <c r="N115" s="12">
        <v>0</v>
      </c>
      <c r="P115" s="12">
        <v>0</v>
      </c>
      <c r="Q115" s="10">
        <f t="shared" si="663"/>
        <v>0</v>
      </c>
      <c r="S115" s="12">
        <v>0</v>
      </c>
      <c r="V115" s="10">
        <f t="shared" si="664"/>
        <v>0</v>
      </c>
      <c r="AA115" s="10">
        <f t="shared" si="665"/>
        <v>0</v>
      </c>
      <c r="AF115" s="10">
        <f t="shared" si="666"/>
        <v>0</v>
      </c>
      <c r="AK115" s="10">
        <f t="shared" si="667"/>
        <v>0</v>
      </c>
      <c r="AP115" s="10">
        <f t="shared" si="668"/>
        <v>0</v>
      </c>
      <c r="AU115" s="10">
        <f t="shared" si="669"/>
        <v>0</v>
      </c>
    </row>
    <row r="116" spans="1:47" x14ac:dyDescent="0.25">
      <c r="A116" s="3" t="s">
        <v>98</v>
      </c>
      <c r="B116" s="9" t="s">
        <v>146</v>
      </c>
      <c r="D116" s="10">
        <f>D117+D118</f>
        <v>570.4</v>
      </c>
      <c r="F116" s="10">
        <f>F117+F118</f>
        <v>824.9</v>
      </c>
      <c r="G116" s="10">
        <f>G117+G118</f>
        <v>824.9</v>
      </c>
      <c r="I116" s="10">
        <f>I117+I118</f>
        <v>843.5</v>
      </c>
      <c r="K116" s="10">
        <f>K117+K118</f>
        <v>1159.2</v>
      </c>
      <c r="L116" s="10">
        <f>L117+L118</f>
        <v>1159.2</v>
      </c>
      <c r="N116" s="10">
        <f>N117+N118</f>
        <v>1233</v>
      </c>
      <c r="P116" s="10">
        <f>P117+P118</f>
        <v>2019</v>
      </c>
      <c r="Q116" s="10">
        <f>Q117+Q118</f>
        <v>2019</v>
      </c>
      <c r="S116" s="10">
        <f>S117+S118</f>
        <v>2112.6999999999998</v>
      </c>
      <c r="V116" s="10">
        <f>Q116</f>
        <v>2019</v>
      </c>
      <c r="AA116" s="10">
        <f t="shared" si="665"/>
        <v>2019</v>
      </c>
      <c r="AF116" s="10">
        <f t="shared" si="666"/>
        <v>2019</v>
      </c>
      <c r="AK116" s="10">
        <f t="shared" si="667"/>
        <v>2019</v>
      </c>
      <c r="AP116" s="10">
        <f t="shared" si="668"/>
        <v>2019</v>
      </c>
      <c r="AU116" s="10">
        <f t="shared" si="669"/>
        <v>2019</v>
      </c>
    </row>
    <row r="117" spans="1:47" hidden="1" outlineLevel="1" x14ac:dyDescent="0.25">
      <c r="A117" s="11" t="s">
        <v>137</v>
      </c>
      <c r="B117" s="9" t="s">
        <v>146</v>
      </c>
      <c r="D117" s="12">
        <v>0</v>
      </c>
      <c r="F117" s="12">
        <v>122.9</v>
      </c>
      <c r="G117" s="10">
        <f t="shared" ref="G117:G118" si="670">F117</f>
        <v>122.9</v>
      </c>
      <c r="I117" s="12">
        <f>110.8+9.2</f>
        <v>120</v>
      </c>
      <c r="K117" s="12">
        <v>244.5</v>
      </c>
      <c r="L117" s="10">
        <f t="shared" ref="L117:L118" si="671">K117</f>
        <v>244.5</v>
      </c>
      <c r="N117" s="12">
        <v>225.1</v>
      </c>
      <c r="P117" s="12">
        <v>912.4</v>
      </c>
      <c r="Q117" s="10">
        <f t="shared" ref="Q117:Q118" si="672">P117</f>
        <v>912.4</v>
      </c>
      <c r="S117" s="12">
        <v>889.4</v>
      </c>
    </row>
    <row r="118" spans="1:47" hidden="1" outlineLevel="1" x14ac:dyDescent="0.25">
      <c r="A118" s="11" t="s">
        <v>141</v>
      </c>
      <c r="B118" s="9" t="s">
        <v>146</v>
      </c>
      <c r="D118" s="12">
        <v>570.4</v>
      </c>
      <c r="F118" s="12">
        <v>702</v>
      </c>
      <c r="G118" s="10">
        <f t="shared" si="670"/>
        <v>702</v>
      </c>
      <c r="I118" s="12">
        <v>723.5</v>
      </c>
      <c r="K118" s="12">
        <v>914.7</v>
      </c>
      <c r="L118" s="10">
        <f t="shared" si="671"/>
        <v>914.7</v>
      </c>
      <c r="N118" s="12">
        <v>1007.9</v>
      </c>
      <c r="P118" s="12">
        <v>1106.5999999999999</v>
      </c>
      <c r="Q118" s="10">
        <f t="shared" si="672"/>
        <v>1106.5999999999999</v>
      </c>
      <c r="S118" s="12">
        <v>1223.3</v>
      </c>
    </row>
    <row r="119" spans="1:47" s="8" customFormat="1" collapsed="1" x14ac:dyDescent="0.25">
      <c r="A119" s="4" t="s">
        <v>99</v>
      </c>
      <c r="B119" s="8" t="s">
        <v>146</v>
      </c>
      <c r="D119" s="20">
        <f>D113+D114+D115+D116</f>
        <v>845.7</v>
      </c>
      <c r="F119" s="20">
        <f>F113+F114+F115+F116</f>
        <v>1211.1999999999998</v>
      </c>
      <c r="G119" s="20">
        <f>G113+G114+G115+G116</f>
        <v>1211.1999999999998</v>
      </c>
      <c r="I119" s="20">
        <f>I113+I114+I115+I116</f>
        <v>1190.4000000000001</v>
      </c>
      <c r="K119" s="20">
        <f>K113+K114+K115+K116</f>
        <v>1535.5</v>
      </c>
      <c r="L119" s="20">
        <f>L113+L114+L115+L116</f>
        <v>1535.5</v>
      </c>
      <c r="N119" s="20">
        <f>N113+N114+N115+N116</f>
        <v>1606.6</v>
      </c>
      <c r="P119" s="20">
        <f>P113+P114+P115+P116</f>
        <v>2471.8000000000002</v>
      </c>
      <c r="Q119" s="20">
        <f>Q113+Q114+Q115+Q116</f>
        <v>2471.8000000000002</v>
      </c>
      <c r="S119" s="20">
        <f>S113+S114+S115+S116</f>
        <v>2611.5</v>
      </c>
      <c r="V119" s="20">
        <f>V113+V114+V115+V116</f>
        <v>2471.8000000000002</v>
      </c>
      <c r="AA119" s="20">
        <f>AA113+AA114+AA115+AA116</f>
        <v>2471.8000000000002</v>
      </c>
      <c r="AF119" s="20">
        <f>AF113+AF114+AF115+AF116</f>
        <v>2471.8000000000002</v>
      </c>
      <c r="AK119" s="20">
        <f>AK113+AK114+AK115+AK116</f>
        <v>2471.8000000000002</v>
      </c>
      <c r="AP119" s="20">
        <f>AP113+AP114+AP115+AP116</f>
        <v>2471.8000000000002</v>
      </c>
      <c r="AU119" s="20">
        <f>AU113+AU114+AU115+AU116</f>
        <v>2471.8000000000002</v>
      </c>
    </row>
    <row r="120" spans="1:47" x14ac:dyDescent="0.25">
      <c r="A120" s="4"/>
      <c r="D120" s="10"/>
      <c r="F120" s="10"/>
      <c r="I120" s="10"/>
      <c r="K120" s="10"/>
      <c r="N120" s="10"/>
      <c r="P120" s="10"/>
      <c r="S120" s="10"/>
      <c r="V120" s="10"/>
      <c r="AA120" s="10"/>
      <c r="AF120" s="10"/>
      <c r="AK120" s="10"/>
      <c r="AP120" s="10"/>
      <c r="AU120" s="10"/>
    </row>
    <row r="121" spans="1:47" s="8" customFormat="1" x14ac:dyDescent="0.25">
      <c r="A121" s="4" t="s">
        <v>100</v>
      </c>
      <c r="B121" s="8" t="s">
        <v>146</v>
      </c>
      <c r="D121" s="20">
        <f>D111+D119</f>
        <v>10514.3</v>
      </c>
      <c r="F121" s="20">
        <f>F111+F119</f>
        <v>10825.5</v>
      </c>
      <c r="G121" s="20">
        <f>G111+G119</f>
        <v>10825.5</v>
      </c>
      <c r="I121" s="20">
        <f>I111+I119</f>
        <v>12674.6</v>
      </c>
      <c r="K121" s="20">
        <f>K111+K119</f>
        <v>11759.599999999999</v>
      </c>
      <c r="L121" s="20">
        <f>L111+L119</f>
        <v>11759.599999999999</v>
      </c>
      <c r="N121" s="20">
        <f>N111+N119</f>
        <v>13078.800000000001</v>
      </c>
      <c r="P121" s="20">
        <f>P111+P119</f>
        <v>14554.099999999999</v>
      </c>
      <c r="Q121" s="20">
        <f>Q111+Q119</f>
        <v>14554.099999999999</v>
      </c>
      <c r="S121" s="20">
        <f>S111+S119</f>
        <v>16679.5</v>
      </c>
      <c r="V121" s="20">
        <f>V111+V119</f>
        <v>16093.724126436813</v>
      </c>
      <c r="AA121" s="20">
        <f>AA111+AA119</f>
        <v>16642.243632133639</v>
      </c>
      <c r="AF121" s="20">
        <f>AF111+AF119</f>
        <v>17812.65485091411</v>
      </c>
      <c r="AK121" s="20">
        <f>AK111+AK119</f>
        <v>18743.385182833335</v>
      </c>
      <c r="AP121" s="20">
        <f>AP111+AP119</f>
        <v>19760.91698127603</v>
      </c>
      <c r="AU121" s="20">
        <f>AU111+AU119</f>
        <v>20859.730597343321</v>
      </c>
    </row>
    <row r="122" spans="1:47" x14ac:dyDescent="0.25">
      <c r="A122" s="3"/>
      <c r="D122" s="10"/>
      <c r="F122" s="10"/>
      <c r="I122" s="10"/>
      <c r="K122" s="10"/>
      <c r="N122" s="10"/>
      <c r="P122" s="10"/>
      <c r="S122" s="10"/>
    </row>
    <row r="123" spans="1:47" x14ac:dyDescent="0.25">
      <c r="A123" s="3" t="s">
        <v>101</v>
      </c>
      <c r="B123" s="9" t="s">
        <v>146</v>
      </c>
      <c r="D123" s="12">
        <v>512.70000000000005</v>
      </c>
      <c r="F123" s="12">
        <v>512.70000000000005</v>
      </c>
      <c r="G123" s="10">
        <f t="shared" ref="G123:G125" si="673">F123</f>
        <v>512.70000000000005</v>
      </c>
      <c r="I123" s="12">
        <v>512.70000000000005</v>
      </c>
      <c r="K123" s="12">
        <v>512.70000000000005</v>
      </c>
      <c r="L123" s="10">
        <f t="shared" ref="L123:L125" si="674">K123</f>
        <v>512.70000000000005</v>
      </c>
      <c r="N123" s="12">
        <v>512.79999999999995</v>
      </c>
      <c r="P123" s="12">
        <v>507.8</v>
      </c>
      <c r="Q123" s="10">
        <f t="shared" ref="Q123:Q125" si="675">P123</f>
        <v>507.8</v>
      </c>
      <c r="S123" s="12">
        <v>507.9</v>
      </c>
      <c r="V123" s="10">
        <f>Q123+V180</f>
        <v>507.8</v>
      </c>
      <c r="AA123" s="10">
        <f>V123+AA180</f>
        <v>507.8</v>
      </c>
      <c r="AF123" s="10">
        <f>AA123+AF180</f>
        <v>507.8</v>
      </c>
      <c r="AK123" s="10">
        <f>AF123+AK180</f>
        <v>507.8</v>
      </c>
      <c r="AP123" s="10">
        <f>AK123+AP180</f>
        <v>507.8</v>
      </c>
      <c r="AU123" s="10">
        <f>AP123+AU180</f>
        <v>507.8</v>
      </c>
    </row>
    <row r="124" spans="1:47" x14ac:dyDescent="0.25">
      <c r="A124" s="3" t="s">
        <v>102</v>
      </c>
      <c r="B124" s="9" t="s">
        <v>146</v>
      </c>
      <c r="D124" s="12">
        <v>26414.3</v>
      </c>
      <c r="F124" s="12">
        <v>27316.400000000001</v>
      </c>
      <c r="G124" s="10">
        <f t="shared" si="673"/>
        <v>27316.400000000001</v>
      </c>
      <c r="I124" s="12">
        <v>31681.9</v>
      </c>
      <c r="K124" s="12">
        <v>34196.400000000001</v>
      </c>
      <c r="L124" s="10">
        <f t="shared" si="674"/>
        <v>34196.400000000001</v>
      </c>
      <c r="N124" s="12">
        <v>36065</v>
      </c>
      <c r="P124" s="12">
        <v>35232.6</v>
      </c>
      <c r="Q124" s="10">
        <f t="shared" si="675"/>
        <v>35232.6</v>
      </c>
      <c r="S124" s="12">
        <v>36484.699999999997</v>
      </c>
      <c r="V124" s="10">
        <f>Q124+V49+V179</f>
        <v>41475.496271909877</v>
      </c>
      <c r="AA124" s="10">
        <f>V124+AA49+AA179</f>
        <v>48768.049869758426</v>
      </c>
      <c r="AF124" s="10">
        <f>AA124+AF49+AF179</f>
        <v>56589.654960128726</v>
      </c>
      <c r="AK124" s="10">
        <f>AF124+AK49+AK179</f>
        <v>64866.252991637135</v>
      </c>
      <c r="AP124" s="10">
        <f>AK124+AP49+AP179</f>
        <v>73710.680611705509</v>
      </c>
      <c r="AU124" s="10">
        <f>AP124+AU49+AU179</f>
        <v>83161.405309760317</v>
      </c>
    </row>
    <row r="125" spans="1:47" x14ac:dyDescent="0.25">
      <c r="A125" s="3" t="s">
        <v>74</v>
      </c>
      <c r="B125" s="9" t="s">
        <v>146</v>
      </c>
      <c r="D125" s="12">
        <v>401</v>
      </c>
      <c r="F125" s="12">
        <v>427.3</v>
      </c>
      <c r="G125" s="10">
        <f t="shared" si="673"/>
        <v>427.3</v>
      </c>
      <c r="I125" s="12">
        <v>1103.5999999999999</v>
      </c>
      <c r="K125" s="12">
        <v>1273.2</v>
      </c>
      <c r="L125" s="10">
        <f t="shared" si="674"/>
        <v>1273.2</v>
      </c>
      <c r="N125" s="12">
        <v>1297</v>
      </c>
      <c r="P125" s="12">
        <v>1750.1</v>
      </c>
      <c r="Q125" s="10">
        <f t="shared" si="675"/>
        <v>1750.1</v>
      </c>
      <c r="S125" s="12">
        <v>2048.8000000000002</v>
      </c>
      <c r="V125" s="10">
        <f>Q125+-V47</f>
        <v>1776.7400199915585</v>
      </c>
      <c r="AA125" s="10">
        <f>V125+-AA47</f>
        <v>1818.5274150627392</v>
      </c>
      <c r="AF125" s="10">
        <f>AA125+-AF47</f>
        <v>1863.93826104761</v>
      </c>
      <c r="AK125" s="10">
        <f>AF125+-AK47</f>
        <v>1912.3902439766721</v>
      </c>
      <c r="AP125" s="10">
        <f>AK125+-AP47</f>
        <v>1964.1414478967367</v>
      </c>
      <c r="AU125" s="10">
        <f>AP125+-AU47</f>
        <v>2019.4328188728291</v>
      </c>
    </row>
    <row r="126" spans="1:47" hidden="1" x14ac:dyDescent="0.25">
      <c r="A126" s="3" t="s">
        <v>291</v>
      </c>
      <c r="B126" s="9" t="s">
        <v>146</v>
      </c>
      <c r="D126" s="12"/>
      <c r="F126" s="12"/>
      <c r="G126" s="10"/>
      <c r="I126" s="12"/>
      <c r="K126" s="12"/>
      <c r="L126" s="10"/>
      <c r="N126" s="12"/>
      <c r="P126" s="12"/>
      <c r="Q126" s="10"/>
      <c r="S126" s="12"/>
      <c r="V126" s="10">
        <f>V98-V121-V123-V124-V125</f>
        <v>1.3415046851150692E-11</v>
      </c>
      <c r="AA126" s="10">
        <f>AA98-AA121-AA123-AA124-AA125</f>
        <v>-1.8189894035458565E-12</v>
      </c>
      <c r="AF126" s="10">
        <f>AF98-AF121-AF123-AF124-AF125</f>
        <v>6.8212102632969618E-12</v>
      </c>
      <c r="AK126" s="10">
        <f>AK98-AK121-AK123-AK124-AK125</f>
        <v>3.1832314562052488E-12</v>
      </c>
      <c r="AP126" s="10">
        <f>AP98-AP121-AP123-AP124-AP125</f>
        <v>1.2278178473934531E-11</v>
      </c>
      <c r="AU126" s="10">
        <f>AU98-AU121-AU123-AU124-AU125</f>
        <v>1.0459189070388675E-11</v>
      </c>
    </row>
    <row r="127" spans="1:47" s="8" customFormat="1" x14ac:dyDescent="0.25">
      <c r="A127" s="4" t="s">
        <v>103</v>
      </c>
      <c r="B127" s="8" t="s">
        <v>146</v>
      </c>
      <c r="D127" s="20">
        <f>D123+D124+D125</f>
        <v>27328</v>
      </c>
      <c r="F127" s="20">
        <f>F123+F124+F125</f>
        <v>28256.400000000001</v>
      </c>
      <c r="G127" s="20">
        <f>G123+G124+G125</f>
        <v>28256.400000000001</v>
      </c>
      <c r="I127" s="20">
        <f>I123+I124+I125</f>
        <v>33298.200000000004</v>
      </c>
      <c r="K127" s="20">
        <f>K123+K124+K125</f>
        <v>35982.299999999996</v>
      </c>
      <c r="L127" s="20">
        <f>L123+L124+L125</f>
        <v>35982.299999999996</v>
      </c>
      <c r="N127" s="20">
        <f>N123+N124+N125</f>
        <v>37874.800000000003</v>
      </c>
      <c r="P127" s="20">
        <f>P123+P124+P125</f>
        <v>37490.5</v>
      </c>
      <c r="Q127" s="20">
        <f>Q123+Q124+Q125</f>
        <v>37490.5</v>
      </c>
      <c r="S127" s="20">
        <f>S123+S124+S125</f>
        <v>39041.4</v>
      </c>
      <c r="V127" s="20">
        <f>V123+V124+V125+V126</f>
        <v>43760.036291901451</v>
      </c>
      <c r="AA127" s="20">
        <f>AA123+AA124+AA125+AA126</f>
        <v>51094.377284821167</v>
      </c>
      <c r="AF127" s="20">
        <f>AF123+AF124+AF125+AF126</f>
        <v>58961.393221176346</v>
      </c>
      <c r="AK127" s="20">
        <f>AK123+AK124+AK125+AK126</f>
        <v>67286.443235613813</v>
      </c>
      <c r="AP127" s="20">
        <f>AP123+AP124+AP125+AP126</f>
        <v>76182.622059602261</v>
      </c>
      <c r="AU127" s="20">
        <f>AU123+AU124+AU125+AU126</f>
        <v>85688.63812863316</v>
      </c>
    </row>
    <row r="128" spans="1:47" x14ac:dyDescent="0.25">
      <c r="A128" s="3"/>
      <c r="D128" s="10"/>
      <c r="F128" s="10"/>
      <c r="I128" s="10"/>
      <c r="K128" s="10"/>
      <c r="N128" s="10"/>
      <c r="P128" s="10"/>
      <c r="S128" s="10"/>
      <c r="V128" s="10"/>
      <c r="AA128" s="10"/>
      <c r="AF128" s="10"/>
      <c r="AK128" s="10"/>
      <c r="AP128" s="10"/>
      <c r="AU128" s="10"/>
    </row>
    <row r="129" spans="1:47" s="8" customFormat="1" x14ac:dyDescent="0.25">
      <c r="A129" s="4" t="s">
        <v>104</v>
      </c>
      <c r="B129" s="8" t="s">
        <v>146</v>
      </c>
      <c r="D129" s="20">
        <f>D121+D127</f>
        <v>37842.300000000003</v>
      </c>
      <c r="F129" s="20">
        <f>F121+F127</f>
        <v>39081.9</v>
      </c>
      <c r="G129" s="20">
        <f>G121+G127</f>
        <v>39081.9</v>
      </c>
      <c r="I129" s="20">
        <f>I121+I127</f>
        <v>45972.800000000003</v>
      </c>
      <c r="K129" s="20">
        <f>K121+K127</f>
        <v>47741.899999999994</v>
      </c>
      <c r="L129" s="20">
        <f>L121+L127</f>
        <v>47741.899999999994</v>
      </c>
      <c r="N129" s="20">
        <f>N121+N127</f>
        <v>50953.600000000006</v>
      </c>
      <c r="P129" s="20">
        <f>P121+P127</f>
        <v>52044.6</v>
      </c>
      <c r="Q129" s="20">
        <f>Q121+Q127</f>
        <v>52044.6</v>
      </c>
      <c r="S129" s="20">
        <f>S121+S127</f>
        <v>55720.9</v>
      </c>
      <c r="V129" s="20">
        <f>V121+V127</f>
        <v>59853.760418338265</v>
      </c>
      <c r="AA129" s="20">
        <f>AA121+AA127</f>
        <v>67736.620916954809</v>
      </c>
      <c r="AF129" s="20">
        <f>AF121+AF127</f>
        <v>76774.04807209046</v>
      </c>
      <c r="AK129" s="20">
        <f>AK121+AK127</f>
        <v>86029.828418447141</v>
      </c>
      <c r="AP129" s="20">
        <f>AP121+AP127</f>
        <v>95943.539040878299</v>
      </c>
      <c r="AU129" s="20">
        <f>AU121+AU127</f>
        <v>106548.36872597648</v>
      </c>
    </row>
    <row r="130" spans="1:47" x14ac:dyDescent="0.25">
      <c r="A130" s="3"/>
    </row>
    <row r="131" spans="1:47" s="21" customFormat="1" x14ac:dyDescent="0.25">
      <c r="A131" s="5" t="s">
        <v>142</v>
      </c>
      <c r="D131" s="24">
        <f t="shared" ref="D131" si="676">ROUND(D98=D129,-2)</f>
        <v>0</v>
      </c>
      <c r="E131" s="25"/>
      <c r="F131" s="24">
        <f t="shared" ref="F131:AU131" si="677">ROUND(F98=F129,-2)</f>
        <v>0</v>
      </c>
      <c r="G131" s="24">
        <f>ROUND(G98=G129,-2)</f>
        <v>0</v>
      </c>
      <c r="H131" s="25">
        <f t="shared" si="677"/>
        <v>0</v>
      </c>
      <c r="I131" s="24">
        <f t="shared" si="677"/>
        <v>0</v>
      </c>
      <c r="J131" s="25">
        <f t="shared" si="677"/>
        <v>0</v>
      </c>
      <c r="K131" s="24">
        <f t="shared" si="677"/>
        <v>0</v>
      </c>
      <c r="L131" s="24">
        <f t="shared" si="677"/>
        <v>0</v>
      </c>
      <c r="M131" s="25">
        <f t="shared" si="677"/>
        <v>0</v>
      </c>
      <c r="N131" s="24">
        <f t="shared" si="677"/>
        <v>0</v>
      </c>
      <c r="O131" s="25">
        <f t="shared" si="677"/>
        <v>0</v>
      </c>
      <c r="P131" s="24">
        <f t="shared" si="677"/>
        <v>0</v>
      </c>
      <c r="Q131" s="24">
        <f t="shared" si="677"/>
        <v>0</v>
      </c>
      <c r="R131" s="25"/>
      <c r="S131" s="24">
        <f t="shared" si="677"/>
        <v>0</v>
      </c>
      <c r="V131" s="24">
        <f t="shared" si="677"/>
        <v>0</v>
      </c>
      <c r="AA131" s="24">
        <f t="shared" si="677"/>
        <v>0</v>
      </c>
      <c r="AF131" s="24">
        <f t="shared" si="677"/>
        <v>0</v>
      </c>
      <c r="AK131" s="24">
        <f t="shared" si="677"/>
        <v>0</v>
      </c>
      <c r="AP131" s="24">
        <f t="shared" si="677"/>
        <v>0</v>
      </c>
      <c r="AU131" s="24">
        <f t="shared" si="677"/>
        <v>0</v>
      </c>
    </row>
    <row r="132" spans="1:47" x14ac:dyDescent="0.25">
      <c r="A132" s="3"/>
      <c r="V132" s="10"/>
      <c r="AA132" s="10"/>
      <c r="AF132" s="10"/>
      <c r="AK132" s="10"/>
      <c r="AP132" s="10"/>
      <c r="AU132" s="10"/>
    </row>
    <row r="133" spans="1:47" x14ac:dyDescent="0.25">
      <c r="A133" s="30" t="s">
        <v>157</v>
      </c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</row>
    <row r="134" spans="1:47" x14ac:dyDescent="0.25">
      <c r="A134" s="3"/>
    </row>
    <row r="135" spans="1:47" x14ac:dyDescent="0.25">
      <c r="A135" s="3" t="s">
        <v>105</v>
      </c>
      <c r="G135" s="10">
        <f>G49</f>
        <v>7555.4999999999964</v>
      </c>
      <c r="L135" s="10">
        <f>L49</f>
        <v>8599.8999999999924</v>
      </c>
      <c r="Q135" s="10">
        <f>Q49</f>
        <v>9623.5000000000036</v>
      </c>
      <c r="V135" s="10">
        <f>V49</f>
        <v>9289.6962719098792</v>
      </c>
      <c r="AA135" s="10">
        <f>AA49</f>
        <v>10405.061372724022</v>
      </c>
      <c r="AF135" s="10">
        <f>AF49</f>
        <v>11307.300650232846</v>
      </c>
      <c r="AK135" s="10">
        <f>AK49</f>
        <v>12064.543749336421</v>
      </c>
      <c r="AP135" s="10">
        <f>AP49</f>
        <v>12886.049776096073</v>
      </c>
      <c r="AU135" s="10">
        <f>AU49</f>
        <v>13767.551373046992</v>
      </c>
    </row>
    <row r="136" spans="1:47" x14ac:dyDescent="0.25">
      <c r="A136" s="3" t="s">
        <v>106</v>
      </c>
      <c r="G136" s="10">
        <f>-G27</f>
        <v>1331.3</v>
      </c>
      <c r="L136" s="10">
        <f>-L27</f>
        <v>1151.4000000000001</v>
      </c>
      <c r="Q136" s="10">
        <f>-Q27</f>
        <v>1198.8</v>
      </c>
      <c r="V136" s="10">
        <f>-V27</f>
        <v>1261.8887226404051</v>
      </c>
      <c r="AA136" s="10">
        <f>-AA27</f>
        <v>1300.4301528468234</v>
      </c>
      <c r="AF136" s="10">
        <f>-AF27</f>
        <v>1372.518575601797</v>
      </c>
      <c r="AK136" s="10">
        <f>-AK27</f>
        <v>1437.5967821508307</v>
      </c>
      <c r="AP136" s="10">
        <f>-AP27</f>
        <v>1496.7884038490388</v>
      </c>
      <c r="AU136" s="10">
        <f>-AU27</f>
        <v>1559.6185904415188</v>
      </c>
    </row>
    <row r="137" spans="1:47" x14ac:dyDescent="0.25">
      <c r="A137" s="3" t="s">
        <v>107</v>
      </c>
      <c r="G137" s="10">
        <f>-G47</f>
        <v>37.599999999999994</v>
      </c>
      <c r="L137" s="10">
        <f>-L47</f>
        <v>32.300000000000004</v>
      </c>
      <c r="Q137" s="10">
        <f>-Q47</f>
        <v>37.4</v>
      </c>
      <c r="V137" s="10">
        <f>-V47</f>
        <v>26.640019991558582</v>
      </c>
      <c r="AA137" s="10">
        <f>-AA47</f>
        <v>41.787395071180804</v>
      </c>
      <c r="AF137" s="10">
        <f>-AF47</f>
        <v>45.410845984870861</v>
      </c>
      <c r="AK137" s="10">
        <f>-AK47</f>
        <v>48.451982929061955</v>
      </c>
      <c r="AP137" s="10">
        <f>-AP47</f>
        <v>51.751203920064555</v>
      </c>
      <c r="AU137" s="10">
        <f>-AU47</f>
        <v>55.291370976092338</v>
      </c>
    </row>
    <row r="138" spans="1:47" x14ac:dyDescent="0.25">
      <c r="A138" s="3" t="s">
        <v>263</v>
      </c>
      <c r="G138" s="10">
        <f>-G35</f>
        <v>-29.299999999999997</v>
      </c>
      <c r="L138" s="10">
        <f>-L35</f>
        <v>-52.999999999999993</v>
      </c>
      <c r="Q138" s="10">
        <f>-Q35</f>
        <v>-45.9</v>
      </c>
      <c r="V138" s="10">
        <f>-V35</f>
        <v>-22.4</v>
      </c>
      <c r="AA138" s="10">
        <f>-AA35</f>
        <v>-40</v>
      </c>
      <c r="AF138" s="10">
        <f>-AF35</f>
        <v>-40</v>
      </c>
      <c r="AK138" s="10">
        <f>-AK35</f>
        <v>-40</v>
      </c>
      <c r="AP138" s="10">
        <f>-AP35</f>
        <v>-40</v>
      </c>
      <c r="AU138" s="10">
        <f>-AU35</f>
        <v>-40</v>
      </c>
    </row>
    <row r="139" spans="1:47" x14ac:dyDescent="0.25">
      <c r="A139" s="3" t="s">
        <v>108</v>
      </c>
      <c r="G139" s="10">
        <f>G140+G141+G142+G143+G144+G145+G146+G147+G148+G149+G150+G151</f>
        <v>-12.10000000000008</v>
      </c>
      <c r="L139" s="10">
        <f>L140+L141+L142+L143+L144+L145+L146+L147+L148+L149+L150+L151</f>
        <v>-1398.6</v>
      </c>
      <c r="Q139" s="10">
        <f>Q140+Q141+Q142+Q143+Q144+Q145+Q146+Q147+Q148+Q149+Q150+Q151</f>
        <v>-1773.7</v>
      </c>
      <c r="V139" s="10">
        <f>(Q69+Q71+Q73)-(Q101+Q105)-(V69+V71+V73)+(V101+V105)</f>
        <v>168.88630375147659</v>
      </c>
      <c r="AA139" s="10">
        <f>(V69+V71+V73)-(V101+V105)-(AA69+AA71+AA73)+(AA101+AA105)</f>
        <v>-794.96035508466048</v>
      </c>
      <c r="AF139" s="10">
        <f>(AA69+AA71+AA73)-(AA101+AA105)-(AF69+AF71+AF73)+(AF101+AF105)</f>
        <v>-1277.5495551291406</v>
      </c>
      <c r="AK139" s="10">
        <f>(AF69+AF71+AF73)-(AF101+AF105)-(AK69+AK71+AK73)+(AK101+AK105)</f>
        <v>-346.29078311203921</v>
      </c>
      <c r="AP139" s="10">
        <f>(AK69+AK71+AK73)-(AK101+AK105)-(AP69+AP71+AP73)+(AP101+AP105)</f>
        <v>-940.31354830664895</v>
      </c>
      <c r="AU139" s="10">
        <f>(AP69+AP71+AP73)-(AP101+AP105)-(AU69+AU71+AU73)+(AU101+AU105)</f>
        <v>-862.11279994770666</v>
      </c>
    </row>
    <row r="140" spans="1:47" outlineLevel="1" x14ac:dyDescent="0.25">
      <c r="A140" s="51" t="s">
        <v>221</v>
      </c>
      <c r="G140" s="14">
        <v>-1013.4</v>
      </c>
      <c r="L140" s="14">
        <v>-709.4</v>
      </c>
      <c r="Q140" s="14">
        <v>-1483</v>
      </c>
    </row>
    <row r="141" spans="1:47" outlineLevel="1" x14ac:dyDescent="0.25">
      <c r="A141" s="51" t="s">
        <v>222</v>
      </c>
      <c r="G141" s="14">
        <v>487.6</v>
      </c>
      <c r="L141" s="14">
        <v>-817.4</v>
      </c>
      <c r="Q141" s="14">
        <v>-637.29999999999995</v>
      </c>
    </row>
    <row r="142" spans="1:47" outlineLevel="1" x14ac:dyDescent="0.25">
      <c r="A142" s="51" t="s">
        <v>266</v>
      </c>
      <c r="G142" s="14">
        <v>-19.600000000000001</v>
      </c>
      <c r="L142" s="14">
        <v>11.2</v>
      </c>
      <c r="Q142" s="14">
        <v>26.4</v>
      </c>
    </row>
    <row r="143" spans="1:47" outlineLevel="1" x14ac:dyDescent="0.25">
      <c r="A143" s="51" t="s">
        <v>267</v>
      </c>
      <c r="G143" s="14">
        <v>74.5</v>
      </c>
      <c r="L143" s="14">
        <v>-9.8000000000000007</v>
      </c>
      <c r="Q143" s="14">
        <v>14.3</v>
      </c>
    </row>
    <row r="144" spans="1:47" outlineLevel="1" x14ac:dyDescent="0.25">
      <c r="A144" s="51" t="s">
        <v>268</v>
      </c>
      <c r="G144" s="14">
        <v>-165.8</v>
      </c>
      <c r="L144" s="14">
        <v>-53.4</v>
      </c>
      <c r="Q144" s="14">
        <v>-1.8</v>
      </c>
    </row>
    <row r="145" spans="1:47" outlineLevel="1" x14ac:dyDescent="0.25">
      <c r="A145" s="51" t="s">
        <v>269</v>
      </c>
      <c r="G145" s="14">
        <v>-158.19999999999999</v>
      </c>
      <c r="L145" s="14">
        <v>-129</v>
      </c>
      <c r="Q145" s="14">
        <v>-161.69999999999999</v>
      </c>
    </row>
    <row r="146" spans="1:47" outlineLevel="1" x14ac:dyDescent="0.25">
      <c r="A146" s="51" t="s">
        <v>270</v>
      </c>
      <c r="G146" s="14">
        <v>31</v>
      </c>
      <c r="L146" s="14">
        <v>-233.7</v>
      </c>
      <c r="Q146" s="14">
        <v>41.1</v>
      </c>
    </row>
    <row r="147" spans="1:47" outlineLevel="1" x14ac:dyDescent="0.25">
      <c r="A147" s="51" t="s">
        <v>271</v>
      </c>
      <c r="G147" s="14">
        <v>-102.4</v>
      </c>
      <c r="L147" s="14">
        <v>-194.9</v>
      </c>
      <c r="Q147" s="14">
        <v>-799.1</v>
      </c>
    </row>
    <row r="148" spans="1:47" outlineLevel="1" x14ac:dyDescent="0.25">
      <c r="A148" s="51" t="s">
        <v>223</v>
      </c>
      <c r="G148" s="14">
        <v>166.9</v>
      </c>
      <c r="L148" s="14">
        <v>152.69999999999999</v>
      </c>
      <c r="Q148" s="14">
        <v>1297.0999999999999</v>
      </c>
    </row>
    <row r="149" spans="1:47" outlineLevel="1" x14ac:dyDescent="0.25">
      <c r="A149" s="51" t="s">
        <v>272</v>
      </c>
      <c r="G149" s="14">
        <v>316.60000000000002</v>
      </c>
      <c r="L149" s="14">
        <v>555.6</v>
      </c>
      <c r="Q149" s="14">
        <v>162.5</v>
      </c>
    </row>
    <row r="150" spans="1:47" outlineLevel="1" x14ac:dyDescent="0.25">
      <c r="A150" s="51" t="s">
        <v>273</v>
      </c>
      <c r="G150" s="14">
        <v>26.2</v>
      </c>
      <c r="L150" s="14">
        <v>-0.7</v>
      </c>
      <c r="Q150" s="14">
        <v>-83</v>
      </c>
    </row>
    <row r="151" spans="1:47" outlineLevel="1" x14ac:dyDescent="0.25">
      <c r="A151" s="51" t="s">
        <v>274</v>
      </c>
      <c r="G151" s="14">
        <v>344.5</v>
      </c>
      <c r="L151" s="14">
        <v>30.2</v>
      </c>
      <c r="Q151" s="14">
        <v>-149.19999999999999</v>
      </c>
    </row>
    <row r="152" spans="1:47" x14ac:dyDescent="0.25">
      <c r="A152" s="3" t="s">
        <v>109</v>
      </c>
      <c r="G152" s="10">
        <f>G153+G154+G155+G156+G157+G158+G159+G160+G161+G162+G163+G164</f>
        <v>191.70000000000363</v>
      </c>
      <c r="H152" s="10"/>
      <c r="I152" s="10"/>
      <c r="J152" s="10"/>
      <c r="K152" s="10"/>
      <c r="L152" s="10">
        <f>L153+L154+L155+L156+L157+L158+L159+L160+L161+L162+L163+L164</f>
        <v>-394.49999999999068</v>
      </c>
      <c r="M152" s="10"/>
      <c r="N152" s="10"/>
      <c r="O152" s="10"/>
      <c r="P152" s="10"/>
      <c r="Q152" s="10">
        <f>Q153+Q154+Q155+Q156+Q157+Q158+Q159+Q160+Q161+Q162+Q163+Q164</f>
        <v>-1075.8000000000025</v>
      </c>
      <c r="V152" s="10">
        <f>Q92-V92+V114-Q114+V115-Q115</f>
        <v>0</v>
      </c>
      <c r="AA152" s="10">
        <f>V92-AA92+AA114-V114+AA115-V115</f>
        <v>0</v>
      </c>
      <c r="AF152" s="10">
        <f>AA92-AF92+AF114-AA114+AF115-AA115</f>
        <v>0</v>
      </c>
      <c r="AK152" s="10">
        <f>AF92-AK92+AK114-AF114+AK115-AF115</f>
        <v>0</v>
      </c>
      <c r="AP152" s="10">
        <f>AK92-AP92+AP114-AK114+AP115-AK115</f>
        <v>0</v>
      </c>
      <c r="AU152" s="10">
        <f>AP92-AU92+AU114-AP114+AU115-AP115</f>
        <v>0</v>
      </c>
    </row>
    <row r="153" spans="1:47" hidden="1" outlineLevel="1" x14ac:dyDescent="0.25">
      <c r="A153" s="51" t="s">
        <v>275</v>
      </c>
      <c r="G153" s="12">
        <v>132.69999999999999</v>
      </c>
      <c r="H153" s="10"/>
      <c r="I153" s="10"/>
      <c r="J153" s="10"/>
      <c r="K153" s="10"/>
      <c r="L153" s="12">
        <v>139.30000000000001</v>
      </c>
      <c r="M153" s="10"/>
      <c r="N153" s="10"/>
      <c r="O153" s="10"/>
      <c r="P153" s="10"/>
      <c r="Q153" s="12">
        <v>155.4</v>
      </c>
      <c r="V153" s="10"/>
      <c r="AA153" s="10"/>
      <c r="AF153" s="10"/>
      <c r="AK153" s="10"/>
      <c r="AP153" s="10"/>
      <c r="AU153" s="10"/>
    </row>
    <row r="154" spans="1:47" hidden="1" outlineLevel="1" x14ac:dyDescent="0.25">
      <c r="A154" s="51" t="s">
        <v>276</v>
      </c>
      <c r="G154" s="12">
        <v>-50.7</v>
      </c>
      <c r="H154" s="10"/>
      <c r="I154" s="10"/>
      <c r="J154" s="10"/>
      <c r="K154" s="10"/>
      <c r="L154" s="12">
        <v>-58.9</v>
      </c>
      <c r="M154" s="10"/>
      <c r="N154" s="10"/>
      <c r="O154" s="10"/>
      <c r="P154" s="10"/>
      <c r="Q154" s="12">
        <v>-74.400000000000006</v>
      </c>
      <c r="V154" s="10"/>
      <c r="AA154" s="10"/>
      <c r="AF154" s="10"/>
      <c r="AK154" s="10"/>
      <c r="AP154" s="10"/>
      <c r="AU154" s="10"/>
    </row>
    <row r="155" spans="1:47" hidden="1" outlineLevel="1" x14ac:dyDescent="0.25">
      <c r="A155" s="51" t="s">
        <v>277</v>
      </c>
      <c r="G155" s="12">
        <v>-15.3</v>
      </c>
      <c r="H155" s="10"/>
      <c r="I155" s="10"/>
      <c r="J155" s="10"/>
      <c r="K155" s="10"/>
      <c r="L155" s="12">
        <v>-71.5</v>
      </c>
      <c r="M155" s="10"/>
      <c r="N155" s="10"/>
      <c r="O155" s="10"/>
      <c r="P155" s="10"/>
      <c r="Q155" s="12">
        <v>-155.80000000000001</v>
      </c>
      <c r="V155" s="10"/>
      <c r="AA155" s="10"/>
      <c r="AF155" s="10"/>
      <c r="AK155" s="10"/>
      <c r="AP155" s="10"/>
      <c r="AU155" s="10"/>
    </row>
    <row r="156" spans="1:47" hidden="1" outlineLevel="1" x14ac:dyDescent="0.25">
      <c r="A156" s="51" t="s">
        <v>278</v>
      </c>
      <c r="G156" s="12">
        <v>11.2</v>
      </c>
      <c r="H156" s="10"/>
      <c r="I156" s="10"/>
      <c r="J156" s="10"/>
      <c r="K156" s="10"/>
      <c r="L156" s="12">
        <v>11.2</v>
      </c>
      <c r="M156" s="10"/>
      <c r="N156" s="10"/>
      <c r="O156" s="10"/>
      <c r="P156" s="10"/>
      <c r="Q156" s="12">
        <v>13.4</v>
      </c>
      <c r="V156" s="10"/>
      <c r="AA156" s="10"/>
      <c r="AF156" s="10"/>
      <c r="AK156" s="10"/>
      <c r="AP156" s="10"/>
      <c r="AU156" s="10"/>
    </row>
    <row r="157" spans="1:47" hidden="1" outlineLevel="1" x14ac:dyDescent="0.25">
      <c r="A157" s="51" t="s">
        <v>279</v>
      </c>
      <c r="G157" s="12">
        <v>-18.100000000000001</v>
      </c>
      <c r="H157" s="10"/>
      <c r="I157" s="10"/>
      <c r="J157" s="10"/>
      <c r="K157" s="10"/>
      <c r="L157" s="12">
        <v>20.8</v>
      </c>
      <c r="M157" s="10"/>
      <c r="N157" s="10"/>
      <c r="O157" s="10"/>
      <c r="P157" s="10"/>
      <c r="Q157" s="12">
        <v>-65.3</v>
      </c>
      <c r="V157" s="10"/>
      <c r="AA157" s="10"/>
      <c r="AF157" s="10"/>
      <c r="AK157" s="10"/>
      <c r="AP157" s="10"/>
      <c r="AU157" s="10"/>
    </row>
    <row r="158" spans="1:47" hidden="1" outlineLevel="1" x14ac:dyDescent="0.25">
      <c r="A158" s="51" t="s">
        <v>280</v>
      </c>
      <c r="G158" s="12">
        <v>-480.8</v>
      </c>
      <c r="H158" s="10"/>
      <c r="I158" s="10"/>
      <c r="J158" s="10"/>
      <c r="K158" s="10"/>
      <c r="L158" s="12">
        <v>-768.6</v>
      </c>
      <c r="M158" s="10"/>
      <c r="N158" s="10"/>
      <c r="O158" s="10"/>
      <c r="P158" s="10"/>
      <c r="Q158" s="12">
        <v>-924.2</v>
      </c>
      <c r="V158" s="10"/>
      <c r="AA158" s="10"/>
      <c r="AF158" s="10"/>
      <c r="AK158" s="10"/>
      <c r="AP158" s="10"/>
      <c r="AU158" s="10"/>
    </row>
    <row r="159" spans="1:47" hidden="1" outlineLevel="1" x14ac:dyDescent="0.25">
      <c r="A159" s="51" t="s">
        <v>281</v>
      </c>
      <c r="G159" s="12">
        <v>106.7</v>
      </c>
      <c r="H159" s="10"/>
      <c r="I159" s="10"/>
      <c r="J159" s="10"/>
      <c r="K159" s="10"/>
      <c r="L159" s="12">
        <v>42.7</v>
      </c>
      <c r="M159" s="10"/>
      <c r="N159" s="10"/>
      <c r="O159" s="10"/>
      <c r="P159" s="10"/>
      <c r="Q159" s="12">
        <v>233.7</v>
      </c>
      <c r="V159" s="10"/>
      <c r="AA159" s="10"/>
      <c r="AF159" s="10"/>
      <c r="AK159" s="10"/>
      <c r="AP159" s="10"/>
      <c r="AU159" s="10"/>
    </row>
    <row r="160" spans="1:47" hidden="1" outlineLevel="1" x14ac:dyDescent="0.25">
      <c r="A160" s="51" t="s">
        <v>282</v>
      </c>
      <c r="G160" s="12">
        <v>97.8</v>
      </c>
      <c r="H160" s="10"/>
      <c r="I160" s="10"/>
      <c r="J160" s="10"/>
      <c r="K160" s="10"/>
      <c r="L160" s="12">
        <v>62.5</v>
      </c>
      <c r="M160" s="10"/>
      <c r="N160" s="10"/>
      <c r="O160" s="10"/>
      <c r="P160" s="10"/>
      <c r="Q160" s="12">
        <v>2.8</v>
      </c>
      <c r="V160" s="10"/>
      <c r="AA160" s="10"/>
      <c r="AF160" s="10"/>
      <c r="AK160" s="10"/>
      <c r="AP160" s="10"/>
      <c r="AU160" s="10"/>
    </row>
    <row r="161" spans="1:47" hidden="1" outlineLevel="1" x14ac:dyDescent="0.25">
      <c r="A161" s="51" t="s">
        <v>283</v>
      </c>
      <c r="G161" s="12">
        <v>27.2</v>
      </c>
      <c r="H161" s="10"/>
      <c r="I161" s="10"/>
      <c r="J161" s="10"/>
      <c r="K161" s="10"/>
      <c r="L161" s="12">
        <v>27.6</v>
      </c>
      <c r="M161" s="10"/>
      <c r="N161" s="10"/>
      <c r="O161" s="10"/>
      <c r="P161" s="10"/>
      <c r="Q161" s="12">
        <v>9.3000000000000007</v>
      </c>
      <c r="V161" s="10"/>
      <c r="AA161" s="10"/>
      <c r="AF161" s="10"/>
      <c r="AK161" s="10"/>
      <c r="AP161" s="10"/>
      <c r="AU161" s="10"/>
    </row>
    <row r="162" spans="1:47" hidden="1" outlineLevel="1" x14ac:dyDescent="0.25">
      <c r="A162" s="51" t="s">
        <v>284</v>
      </c>
      <c r="G162" s="12">
        <v>-1.1000000000000001</v>
      </c>
      <c r="H162" s="10"/>
      <c r="I162" s="10"/>
      <c r="J162" s="10"/>
      <c r="K162" s="10"/>
      <c r="L162" s="12">
        <v>5.0999999999999996</v>
      </c>
      <c r="M162" s="10"/>
      <c r="N162" s="10"/>
      <c r="O162" s="10"/>
      <c r="P162" s="10"/>
      <c r="Q162" s="12">
        <v>25.8</v>
      </c>
      <c r="V162" s="10"/>
      <c r="AA162" s="10"/>
      <c r="AF162" s="10"/>
      <c r="AK162" s="10"/>
      <c r="AP162" s="10"/>
      <c r="AU162" s="10"/>
    </row>
    <row r="163" spans="1:47" hidden="1" outlineLevel="1" x14ac:dyDescent="0.25">
      <c r="A163" s="51" t="s">
        <v>285</v>
      </c>
      <c r="G163" s="12">
        <v>36.6</v>
      </c>
      <c r="H163" s="10"/>
      <c r="I163" s="10"/>
      <c r="J163" s="10"/>
      <c r="K163" s="10"/>
      <c r="L163" s="12">
        <v>78</v>
      </c>
      <c r="M163" s="10"/>
      <c r="N163" s="10"/>
      <c r="O163" s="10"/>
      <c r="P163" s="10"/>
      <c r="Q163" s="12">
        <v>52.4</v>
      </c>
    </row>
    <row r="164" spans="1:47" hidden="1" outlineLevel="1" x14ac:dyDescent="0.25">
      <c r="A164" s="51" t="s">
        <v>286</v>
      </c>
      <c r="G164" s="12">
        <f>9074.7-(G135+G136+G137+G138+G139+SUM(G153:G163))</f>
        <v>345.50000000000364</v>
      </c>
      <c r="H164" s="10"/>
      <c r="I164" s="10"/>
      <c r="J164" s="10"/>
      <c r="K164" s="10"/>
      <c r="L164" s="12">
        <f>7937.5-(L135+L136+L137+L138+L139+SUM(L153:L163))</f>
        <v>117.30000000000928</v>
      </c>
      <c r="M164" s="10"/>
      <c r="N164" s="10"/>
      <c r="O164" s="10"/>
      <c r="P164" s="10"/>
      <c r="Q164" s="12">
        <f>7964.3-(Q135+Q136+Q137+Q138+Q139+SUM(Q153:Q163))</f>
        <v>-348.90000000000236</v>
      </c>
    </row>
    <row r="165" spans="1:47" s="8" customFormat="1" collapsed="1" x14ac:dyDescent="0.25">
      <c r="A165" s="4" t="s">
        <v>110</v>
      </c>
      <c r="G165" s="20">
        <f>G135+G136+G137+G138+G139+G152</f>
        <v>9074.7000000000007</v>
      </c>
      <c r="H165" s="20"/>
      <c r="I165" s="20"/>
      <c r="J165" s="20"/>
      <c r="K165" s="20"/>
      <c r="L165" s="20">
        <f>L135+L136+L137+L138+L139+L152</f>
        <v>7937.5</v>
      </c>
      <c r="M165" s="20"/>
      <c r="N165" s="20"/>
      <c r="O165" s="20"/>
      <c r="P165" s="20"/>
      <c r="Q165" s="20">
        <f>Q135+Q136+Q137+Q138+Q139+Q152</f>
        <v>7964.2999999999993</v>
      </c>
      <c r="V165" s="20">
        <f>V135+V136+V137+V138+V139+V152</f>
        <v>10724.711318293321</v>
      </c>
      <c r="AA165" s="20">
        <f>AA135+AA136+AA137+AA138+AA139+AA152</f>
        <v>10912.318565557365</v>
      </c>
      <c r="AF165" s="20">
        <f>AF135+AF136+AF137+AF138+AF139+AF152</f>
        <v>11407.680516690372</v>
      </c>
      <c r="AK165" s="20">
        <f>AK135+AK136+AK137+AK138+AK139+AK152</f>
        <v>13164.301731304275</v>
      </c>
      <c r="AP165" s="20">
        <f>AP135+AP136+AP137+AP138+AP139+AP152</f>
        <v>13454.275835558528</v>
      </c>
      <c r="AU165" s="20">
        <f>AU135+AU136+AU137+AU138+AU139+AU152</f>
        <v>14480.348534516897</v>
      </c>
    </row>
    <row r="166" spans="1:47" x14ac:dyDescent="0.25">
      <c r="A166" s="3"/>
    </row>
    <row r="167" spans="1:47" x14ac:dyDescent="0.25">
      <c r="A167" s="3" t="s">
        <v>111</v>
      </c>
      <c r="G167" s="12">
        <v>-1704.3</v>
      </c>
      <c r="H167" s="10"/>
      <c r="I167" s="10"/>
      <c r="J167" s="10"/>
      <c r="K167" s="10"/>
      <c r="L167" s="12">
        <v>-1330.6</v>
      </c>
      <c r="M167" s="10"/>
      <c r="N167" s="10"/>
      <c r="O167" s="10"/>
      <c r="P167" s="10"/>
      <c r="Q167" s="12">
        <v>-1768.3</v>
      </c>
      <c r="R167" s="10"/>
      <c r="S167" s="10"/>
      <c r="T167" s="10"/>
      <c r="U167" s="10"/>
      <c r="V167" s="39">
        <v>-1900</v>
      </c>
      <c r="W167" s="10"/>
      <c r="X167" s="10"/>
      <c r="Y167" s="10"/>
      <c r="Z167" s="10"/>
      <c r="AA167" s="39">
        <v>-2100</v>
      </c>
      <c r="AB167" s="10"/>
      <c r="AC167" s="10"/>
      <c r="AD167" s="10"/>
      <c r="AE167" s="10"/>
      <c r="AF167" s="39">
        <f>AA167</f>
        <v>-2100</v>
      </c>
      <c r="AG167" s="10"/>
      <c r="AH167" s="10"/>
      <c r="AI167" s="10"/>
      <c r="AJ167" s="10"/>
      <c r="AK167" s="39">
        <f>AF167</f>
        <v>-2100</v>
      </c>
      <c r="AL167" s="10"/>
      <c r="AM167" s="10"/>
      <c r="AN167" s="10"/>
      <c r="AO167" s="10"/>
      <c r="AP167" s="39">
        <v>-2200</v>
      </c>
      <c r="AQ167" s="10"/>
      <c r="AR167" s="10"/>
      <c r="AS167" s="10"/>
      <c r="AT167" s="10"/>
      <c r="AU167" s="39">
        <f>AP167</f>
        <v>-2200</v>
      </c>
    </row>
    <row r="168" spans="1:47" x14ac:dyDescent="0.25">
      <c r="A168" s="3" t="s">
        <v>112</v>
      </c>
      <c r="G168" s="12"/>
      <c r="H168" s="10"/>
      <c r="I168" s="10"/>
      <c r="J168" s="10"/>
      <c r="K168" s="10"/>
      <c r="L168" s="12"/>
      <c r="M168" s="10"/>
      <c r="N168" s="10"/>
      <c r="O168" s="10"/>
      <c r="P168" s="10"/>
      <c r="Q168" s="12"/>
      <c r="R168" s="10"/>
      <c r="S168" s="10"/>
      <c r="T168" s="10"/>
      <c r="U168" s="10"/>
      <c r="V168" s="39"/>
      <c r="W168" s="10"/>
      <c r="X168" s="10"/>
      <c r="Y168" s="10"/>
      <c r="Z168" s="10"/>
      <c r="AA168" s="39"/>
      <c r="AB168" s="10"/>
      <c r="AC168" s="10"/>
      <c r="AD168" s="10"/>
      <c r="AE168" s="10"/>
      <c r="AF168" s="39"/>
      <c r="AG168" s="10"/>
      <c r="AH168" s="10"/>
      <c r="AI168" s="10"/>
      <c r="AJ168" s="10"/>
      <c r="AK168" s="39"/>
      <c r="AL168" s="10"/>
      <c r="AM168" s="10"/>
      <c r="AN168" s="10"/>
      <c r="AO168" s="10"/>
      <c r="AP168" s="39"/>
      <c r="AQ168" s="10"/>
      <c r="AR168" s="10"/>
      <c r="AS168" s="10"/>
      <c r="AT168" s="10"/>
      <c r="AU168" s="39"/>
    </row>
    <row r="169" spans="1:47" x14ac:dyDescent="0.25">
      <c r="A169" s="3" t="s">
        <v>113</v>
      </c>
      <c r="G169" s="12">
        <v>45.8</v>
      </c>
      <c r="H169" s="10"/>
      <c r="I169" s="10"/>
      <c r="J169" s="10"/>
      <c r="K169" s="10"/>
      <c r="L169" s="12">
        <v>106.4</v>
      </c>
      <c r="M169" s="10"/>
      <c r="N169" s="10"/>
      <c r="O169" s="10"/>
      <c r="P169" s="10"/>
      <c r="Q169" s="12">
        <v>8.3000000000000007</v>
      </c>
      <c r="R169" s="10"/>
      <c r="S169" s="10"/>
      <c r="T169" s="10"/>
      <c r="U169" s="10"/>
      <c r="V169" s="39">
        <v>0</v>
      </c>
      <c r="W169" s="10"/>
      <c r="X169" s="10"/>
      <c r="Y169" s="10"/>
      <c r="Z169" s="10"/>
      <c r="AA169" s="39">
        <f>V169</f>
        <v>0</v>
      </c>
      <c r="AB169" s="10"/>
      <c r="AC169" s="10"/>
      <c r="AD169" s="10"/>
      <c r="AE169" s="10"/>
      <c r="AF169" s="39">
        <f>AA169</f>
        <v>0</v>
      </c>
      <c r="AG169" s="10"/>
      <c r="AH169" s="10"/>
      <c r="AI169" s="10"/>
      <c r="AJ169" s="10"/>
      <c r="AK169" s="39">
        <f>AF169</f>
        <v>0</v>
      </c>
      <c r="AL169" s="10"/>
      <c r="AM169" s="10"/>
      <c r="AN169" s="10"/>
      <c r="AO169" s="10"/>
      <c r="AP169" s="39">
        <f>AK169</f>
        <v>0</v>
      </c>
      <c r="AQ169" s="10"/>
      <c r="AR169" s="10"/>
      <c r="AS169" s="10"/>
      <c r="AT169" s="10"/>
      <c r="AU169" s="39">
        <f>AP169</f>
        <v>0</v>
      </c>
    </row>
    <row r="170" spans="1:47" x14ac:dyDescent="0.25">
      <c r="A170" s="3" t="s">
        <v>114</v>
      </c>
      <c r="G170" s="12">
        <v>20500.099999999999</v>
      </c>
      <c r="H170" s="10"/>
      <c r="I170" s="10"/>
      <c r="J170" s="10"/>
      <c r="K170" s="10"/>
      <c r="L170" s="12">
        <v>24961.1</v>
      </c>
      <c r="M170" s="10"/>
      <c r="N170" s="10"/>
      <c r="O170" s="10"/>
      <c r="P170" s="10"/>
      <c r="Q170" s="12">
        <v>24583.599999999999</v>
      </c>
      <c r="R170" s="10"/>
      <c r="S170" s="10"/>
      <c r="T170" s="10"/>
      <c r="U170" s="10"/>
      <c r="V170" s="39">
        <v>0</v>
      </c>
      <c r="W170" s="10"/>
      <c r="X170" s="10"/>
      <c r="Y170" s="10"/>
      <c r="Z170" s="10"/>
      <c r="AA170" s="39">
        <f>V170</f>
        <v>0</v>
      </c>
      <c r="AB170" s="10"/>
      <c r="AC170" s="10"/>
      <c r="AD170" s="10"/>
      <c r="AE170" s="10"/>
      <c r="AF170" s="39">
        <f>AA170</f>
        <v>0</v>
      </c>
      <c r="AG170" s="10"/>
      <c r="AH170" s="10"/>
      <c r="AI170" s="10"/>
      <c r="AJ170" s="10"/>
      <c r="AK170" s="39">
        <f>AF170</f>
        <v>0</v>
      </c>
      <c r="AL170" s="10"/>
      <c r="AM170" s="10"/>
      <c r="AN170" s="10"/>
      <c r="AO170" s="10"/>
      <c r="AP170" s="39">
        <f>AK170</f>
        <v>0</v>
      </c>
      <c r="AQ170" s="10"/>
      <c r="AR170" s="10"/>
      <c r="AS170" s="10"/>
      <c r="AT170" s="10"/>
      <c r="AU170" s="39">
        <f>AP170</f>
        <v>0</v>
      </c>
    </row>
    <row r="171" spans="1:47" x14ac:dyDescent="0.25">
      <c r="A171" s="3" t="s">
        <v>115</v>
      </c>
      <c r="G171" s="12">
        <f>-23077.4-718.7</f>
        <v>-23796.100000000002</v>
      </c>
      <c r="H171" s="10"/>
      <c r="I171" s="10"/>
      <c r="J171" s="10"/>
      <c r="K171" s="10"/>
      <c r="L171" s="12">
        <f>-31574.1-1076.9</f>
        <v>-32651</v>
      </c>
      <c r="M171" s="10"/>
      <c r="N171" s="10"/>
      <c r="O171" s="10"/>
      <c r="P171" s="10"/>
      <c r="Q171" s="12">
        <f>-21687.8-964</f>
        <v>-22651.8</v>
      </c>
      <c r="R171" s="10"/>
      <c r="S171" s="10"/>
      <c r="T171" s="10"/>
      <c r="U171" s="10"/>
      <c r="V171" s="39">
        <v>0</v>
      </c>
      <c r="W171" s="10"/>
      <c r="X171" s="10"/>
      <c r="Y171" s="10"/>
      <c r="Z171" s="10"/>
      <c r="AA171" s="39">
        <f>V171</f>
        <v>0</v>
      </c>
      <c r="AB171" s="10"/>
      <c r="AC171" s="10"/>
      <c r="AD171" s="10"/>
      <c r="AE171" s="10"/>
      <c r="AF171" s="39">
        <f>AA171</f>
        <v>0</v>
      </c>
      <c r="AG171" s="10"/>
      <c r="AH171" s="10"/>
      <c r="AI171" s="10"/>
      <c r="AJ171" s="10"/>
      <c r="AK171" s="39">
        <f>AF171</f>
        <v>0</v>
      </c>
      <c r="AL171" s="10"/>
      <c r="AM171" s="10"/>
      <c r="AN171" s="10"/>
      <c r="AO171" s="10"/>
      <c r="AP171" s="39">
        <f>AK171</f>
        <v>0</v>
      </c>
      <c r="AQ171" s="10"/>
      <c r="AR171" s="10"/>
      <c r="AS171" s="10"/>
      <c r="AT171" s="10"/>
      <c r="AU171" s="39">
        <f>AP171</f>
        <v>0</v>
      </c>
    </row>
    <row r="172" spans="1:47" x14ac:dyDescent="0.25">
      <c r="A172" s="3" t="s">
        <v>116</v>
      </c>
      <c r="G172" s="10">
        <f>G173+G174+G175+G176</f>
        <v>43.100000000000009</v>
      </c>
      <c r="H172" s="10"/>
      <c r="I172" s="10"/>
      <c r="J172" s="10"/>
      <c r="K172" s="10"/>
      <c r="L172" s="10">
        <f>L173+L174+L175+L176</f>
        <v>124.4</v>
      </c>
      <c r="M172" s="10"/>
      <c r="N172" s="10"/>
      <c r="O172" s="10"/>
      <c r="P172" s="10"/>
      <c r="Q172" s="10">
        <f>Q173+Q174+Q175+Q176</f>
        <v>220.8</v>
      </c>
      <c r="R172" s="10"/>
      <c r="S172" s="10"/>
      <c r="T172" s="10"/>
      <c r="U172" s="10"/>
      <c r="V172" s="10">
        <f>Q86-V86+Q68-V68</f>
        <v>0</v>
      </c>
      <c r="W172" s="10"/>
      <c r="X172" s="10"/>
      <c r="Y172" s="10"/>
      <c r="Z172" s="10"/>
      <c r="AA172" s="10">
        <f>AA86-V86+AA68-V68</f>
        <v>0</v>
      </c>
      <c r="AB172" s="10"/>
      <c r="AC172" s="10"/>
      <c r="AD172" s="10"/>
      <c r="AE172" s="10"/>
      <c r="AF172" s="10">
        <f>AF86-AA86+AF68-AA68</f>
        <v>0</v>
      </c>
      <c r="AG172" s="10"/>
      <c r="AH172" s="10"/>
      <c r="AI172" s="10"/>
      <c r="AJ172" s="10"/>
      <c r="AK172" s="10">
        <f>AK86-AF86+AK68-AF68</f>
        <v>0</v>
      </c>
      <c r="AL172" s="10"/>
      <c r="AM172" s="10"/>
      <c r="AN172" s="10"/>
      <c r="AO172" s="10"/>
      <c r="AP172" s="10">
        <f>AP86-AK86+AP68-AK68</f>
        <v>0</v>
      </c>
      <c r="AQ172" s="10"/>
      <c r="AR172" s="10"/>
      <c r="AS172" s="10"/>
      <c r="AT172" s="10"/>
      <c r="AU172" s="10">
        <f>AU86-AP86+AU68-AP68</f>
        <v>0</v>
      </c>
    </row>
    <row r="173" spans="1:47" hidden="1" outlineLevel="1" x14ac:dyDescent="0.25">
      <c r="A173" s="51" t="s">
        <v>217</v>
      </c>
      <c r="G173" s="12">
        <v>-15.4</v>
      </c>
      <c r="H173" s="10"/>
      <c r="I173" s="10"/>
      <c r="J173" s="10"/>
      <c r="K173" s="10"/>
      <c r="L173" s="12">
        <v>-6</v>
      </c>
      <c r="M173" s="10"/>
      <c r="N173" s="10"/>
      <c r="O173" s="10"/>
      <c r="P173" s="10"/>
      <c r="Q173" s="12">
        <v>56.3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</row>
    <row r="174" spans="1:47" hidden="1" outlineLevel="1" x14ac:dyDescent="0.25">
      <c r="A174" s="51" t="s">
        <v>218</v>
      </c>
      <c r="G174" s="12">
        <v>0</v>
      </c>
      <c r="H174" s="10"/>
      <c r="I174" s="10"/>
      <c r="J174" s="10"/>
      <c r="K174" s="10"/>
      <c r="L174" s="12">
        <v>0</v>
      </c>
      <c r="M174" s="10"/>
      <c r="N174" s="10"/>
      <c r="O174" s="10"/>
      <c r="P174" s="10"/>
      <c r="Q174" s="12">
        <v>-65.7</v>
      </c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</row>
    <row r="175" spans="1:47" hidden="1" outlineLevel="1" x14ac:dyDescent="0.25">
      <c r="A175" s="51" t="s">
        <v>219</v>
      </c>
      <c r="G175" s="12">
        <v>43.2</v>
      </c>
      <c r="H175" s="10"/>
      <c r="I175" s="10"/>
      <c r="J175" s="10"/>
      <c r="K175" s="10"/>
      <c r="L175" s="12">
        <v>58.9</v>
      </c>
      <c r="M175" s="10"/>
      <c r="N175" s="10"/>
      <c r="O175" s="10"/>
      <c r="P175" s="10"/>
      <c r="Q175" s="12">
        <v>74.400000000000006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</row>
    <row r="176" spans="1:47" hidden="1" outlineLevel="1" x14ac:dyDescent="0.25">
      <c r="A176" s="51" t="s">
        <v>220</v>
      </c>
      <c r="G176" s="12">
        <v>15.3</v>
      </c>
      <c r="H176" s="10"/>
      <c r="I176" s="10"/>
      <c r="J176" s="10"/>
      <c r="K176" s="10"/>
      <c r="L176" s="12">
        <v>71.5</v>
      </c>
      <c r="M176" s="10"/>
      <c r="N176" s="10"/>
      <c r="O176" s="10"/>
      <c r="P176" s="10"/>
      <c r="Q176" s="12">
        <v>155.80000000000001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</row>
    <row r="177" spans="1:47" s="8" customFormat="1" collapsed="1" x14ac:dyDescent="0.25">
      <c r="A177" s="4" t="s">
        <v>117</v>
      </c>
      <c r="G177" s="20">
        <f>G167+G168+G169+G170+G171+G172</f>
        <v>-4911.4000000000033</v>
      </c>
      <c r="H177" s="20"/>
      <c r="I177" s="20"/>
      <c r="J177" s="20"/>
      <c r="K177" s="20"/>
      <c r="L177" s="20">
        <f>L167+L168+L169+L170+L171+L172</f>
        <v>-8789.7000000000025</v>
      </c>
      <c r="M177" s="20"/>
      <c r="N177" s="20"/>
      <c r="O177" s="20"/>
      <c r="P177" s="20"/>
      <c r="Q177" s="20">
        <f>Q167+Q168+Q169+Q170+Q171+Q172</f>
        <v>392.59999999999928</v>
      </c>
      <c r="R177" s="20"/>
      <c r="S177" s="20"/>
      <c r="T177" s="20"/>
      <c r="U177" s="20"/>
      <c r="V177" s="20">
        <f>V167+V168+V169+V170+V171+V172</f>
        <v>-1900</v>
      </c>
      <c r="W177" s="20"/>
      <c r="X177" s="20"/>
      <c r="Y177" s="20"/>
      <c r="Z177" s="20"/>
      <c r="AA177" s="20">
        <f>AA167+AA168+AA169+AA170+AA171+AA172</f>
        <v>-2100</v>
      </c>
      <c r="AB177" s="20"/>
      <c r="AC177" s="20"/>
      <c r="AD177" s="20"/>
      <c r="AE177" s="20"/>
      <c r="AF177" s="20">
        <f>AF167+AF168+AF169+AF170+AF171+AF172</f>
        <v>-2100</v>
      </c>
      <c r="AG177" s="20"/>
      <c r="AH177" s="20"/>
      <c r="AI177" s="20"/>
      <c r="AJ177" s="20"/>
      <c r="AK177" s="20">
        <f>AK167+AK168+AK169+AK170+AK171+AK172</f>
        <v>-2100</v>
      </c>
      <c r="AL177" s="20"/>
      <c r="AM177" s="20"/>
      <c r="AN177" s="20"/>
      <c r="AO177" s="20"/>
      <c r="AP177" s="20">
        <f>AP167+AP168+AP169+AP170+AP171+AP172</f>
        <v>-2200</v>
      </c>
      <c r="AQ177" s="20"/>
      <c r="AR177" s="20"/>
      <c r="AS177" s="20"/>
      <c r="AT177" s="20"/>
      <c r="AU177" s="20">
        <f>AU167+AU168+AU169+AU170+AU171+AU172</f>
        <v>-2200</v>
      </c>
    </row>
    <row r="178" spans="1:47" x14ac:dyDescent="0.25">
      <c r="A178" s="3"/>
    </row>
    <row r="179" spans="1:47" x14ac:dyDescent="0.25">
      <c r="A179" s="3" t="s">
        <v>118</v>
      </c>
      <c r="G179" s="12">
        <v>-4032.2</v>
      </c>
      <c r="H179" s="10"/>
      <c r="I179" s="10"/>
      <c r="J179" s="10"/>
      <c r="K179" s="10"/>
      <c r="L179" s="12">
        <v>-316.3</v>
      </c>
      <c r="M179" s="10"/>
      <c r="N179" s="10"/>
      <c r="O179" s="10"/>
      <c r="P179" s="10"/>
      <c r="Q179" s="12">
        <v>-2930</v>
      </c>
      <c r="R179" s="10"/>
      <c r="S179" s="10"/>
      <c r="T179" s="10"/>
      <c r="U179" s="10"/>
      <c r="V179" s="10">
        <f>-Q60*Q52</f>
        <v>-3046.8</v>
      </c>
      <c r="W179" s="10"/>
      <c r="X179" s="10"/>
      <c r="Y179" s="10"/>
      <c r="Z179" s="10"/>
      <c r="AA179" s="10">
        <f>-V60*V52</f>
        <v>-3112.5077748754702</v>
      </c>
      <c r="AB179" s="10"/>
      <c r="AC179" s="10"/>
      <c r="AD179" s="10"/>
      <c r="AE179" s="10"/>
      <c r="AF179" s="10">
        <f>-AA60*AA52</f>
        <v>-3485.6955598625473</v>
      </c>
      <c r="AG179" s="10"/>
      <c r="AH179" s="10"/>
      <c r="AI179" s="10"/>
      <c r="AJ179" s="10"/>
      <c r="AK179" s="10">
        <f>-AF60*AF52</f>
        <v>-3787.9457178280036</v>
      </c>
      <c r="AL179" s="10"/>
      <c r="AM179" s="10"/>
      <c r="AN179" s="10"/>
      <c r="AO179" s="10"/>
      <c r="AP179" s="10">
        <f>-AK60*AK52</f>
        <v>-4041.6221560277008</v>
      </c>
      <c r="AQ179" s="10"/>
      <c r="AR179" s="10"/>
      <c r="AS179" s="10"/>
      <c r="AT179" s="10"/>
      <c r="AU179" s="10">
        <f>-AP60*AP52</f>
        <v>-4316.826674992185</v>
      </c>
    </row>
    <row r="180" spans="1:47" x14ac:dyDescent="0.25">
      <c r="A180" s="3" t="s">
        <v>119</v>
      </c>
      <c r="G180" s="10">
        <f>G181+G184+G185</f>
        <v>0</v>
      </c>
      <c r="H180" s="10"/>
      <c r="I180" s="10"/>
      <c r="J180" s="10"/>
      <c r="K180" s="10"/>
      <c r="L180" s="10">
        <f>L181+L184+L185</f>
        <v>0</v>
      </c>
      <c r="M180" s="10"/>
      <c r="N180" s="10"/>
      <c r="O180" s="10"/>
      <c r="P180" s="10"/>
      <c r="Q180" s="10">
        <f>Q181+Q184+Q185</f>
        <v>-5044.2</v>
      </c>
      <c r="R180" s="10"/>
      <c r="S180" s="10"/>
      <c r="T180" s="10"/>
      <c r="U180" s="10"/>
      <c r="V180" s="10">
        <f>V181+V184+V185</f>
        <v>0</v>
      </c>
      <c r="W180" s="10"/>
      <c r="X180" s="10"/>
      <c r="Y180" s="10"/>
      <c r="Z180" s="10"/>
      <c r="AA180" s="10">
        <f>AA181+AA184+AA185</f>
        <v>0</v>
      </c>
      <c r="AB180" s="10"/>
      <c r="AC180" s="10"/>
      <c r="AD180" s="10"/>
      <c r="AE180" s="10"/>
      <c r="AF180" s="10">
        <f>AF181+AF184+AF185</f>
        <v>0</v>
      </c>
      <c r="AG180" s="10"/>
      <c r="AH180" s="10"/>
      <c r="AI180" s="10"/>
      <c r="AJ180" s="10"/>
      <c r="AK180" s="10">
        <f>AK181+AK184+AK185</f>
        <v>0</v>
      </c>
      <c r="AL180" s="10"/>
      <c r="AM180" s="10"/>
      <c r="AN180" s="10"/>
      <c r="AO180" s="10"/>
      <c r="AP180" s="10">
        <f>AP181+AP184+AP185</f>
        <v>0</v>
      </c>
      <c r="AQ180" s="10"/>
      <c r="AR180" s="10"/>
      <c r="AS180" s="10"/>
      <c r="AT180" s="10"/>
      <c r="AU180" s="10">
        <f>AU181+AU184+AU185</f>
        <v>0</v>
      </c>
    </row>
    <row r="181" spans="1:47" hidden="1" outlineLevel="1" x14ac:dyDescent="0.25">
      <c r="A181" s="11" t="s">
        <v>290</v>
      </c>
      <c r="G181" s="12">
        <v>0</v>
      </c>
      <c r="H181" s="10"/>
      <c r="I181" s="10"/>
      <c r="J181" s="10"/>
      <c r="K181" s="10"/>
      <c r="L181" s="12">
        <v>0</v>
      </c>
      <c r="M181" s="10"/>
      <c r="N181" s="10"/>
      <c r="O181" s="10"/>
      <c r="P181" s="10"/>
      <c r="Q181" s="12">
        <v>0.1</v>
      </c>
      <c r="R181" s="10"/>
      <c r="S181" s="10"/>
      <c r="T181" s="10"/>
      <c r="U181" s="10"/>
      <c r="V181" s="39">
        <v>0</v>
      </c>
      <c r="W181" s="10"/>
      <c r="X181" s="10"/>
      <c r="Y181" s="10"/>
      <c r="Z181" s="10"/>
      <c r="AA181" s="39">
        <v>0</v>
      </c>
      <c r="AB181" s="10"/>
      <c r="AC181" s="10"/>
      <c r="AD181" s="10"/>
      <c r="AE181" s="10"/>
      <c r="AF181" s="39">
        <v>0</v>
      </c>
      <c r="AG181" s="10"/>
      <c r="AH181" s="10"/>
      <c r="AI181" s="10"/>
      <c r="AJ181" s="10"/>
      <c r="AK181" s="39">
        <v>0</v>
      </c>
      <c r="AL181" s="10"/>
      <c r="AM181" s="10"/>
      <c r="AN181" s="10"/>
      <c r="AO181" s="10"/>
      <c r="AP181" s="39">
        <v>0</v>
      </c>
      <c r="AQ181" s="10"/>
      <c r="AR181" s="10"/>
      <c r="AS181" s="10"/>
      <c r="AT181" s="10"/>
      <c r="AU181" s="39">
        <v>0</v>
      </c>
    </row>
    <row r="182" spans="1:47" hidden="1" outlineLevel="1" x14ac:dyDescent="0.25">
      <c r="A182" s="84" t="s">
        <v>261</v>
      </c>
      <c r="G182" s="12"/>
      <c r="H182" s="10"/>
      <c r="I182" s="10"/>
      <c r="J182" s="10"/>
      <c r="K182" s="10"/>
      <c r="L182" s="12"/>
      <c r="M182" s="10"/>
      <c r="N182" s="10"/>
      <c r="O182" s="10"/>
      <c r="P182" s="10"/>
      <c r="Q182" s="10">
        <f>Summary!E44</f>
        <v>825.5</v>
      </c>
      <c r="R182" s="10"/>
      <c r="S182" s="10"/>
      <c r="T182" s="10"/>
      <c r="U182" s="10"/>
      <c r="V182" s="10">
        <f>Summary!F44</f>
        <v>1086</v>
      </c>
      <c r="W182" s="10"/>
      <c r="X182" s="10"/>
      <c r="Y182" s="10"/>
      <c r="Z182" s="10"/>
      <c r="AA182" s="10">
        <f>rCP</f>
        <v>1104</v>
      </c>
      <c r="AB182" s="10"/>
      <c r="AC182" s="10"/>
      <c r="AD182" s="10"/>
      <c r="AE182" s="10"/>
      <c r="AF182" s="10">
        <f>rCP</f>
        <v>1104</v>
      </c>
      <c r="AG182" s="10"/>
      <c r="AH182" s="10"/>
      <c r="AI182" s="10"/>
      <c r="AJ182" s="10"/>
      <c r="AK182" s="10">
        <f>rCP</f>
        <v>1104</v>
      </c>
      <c r="AL182" s="10"/>
      <c r="AM182" s="10"/>
      <c r="AN182" s="10"/>
      <c r="AO182" s="10"/>
      <c r="AP182" s="10">
        <f>rCP</f>
        <v>1104</v>
      </c>
      <c r="AQ182" s="10"/>
      <c r="AR182" s="10"/>
      <c r="AS182" s="10"/>
      <c r="AT182" s="10"/>
      <c r="AU182" s="10">
        <f>rCP</f>
        <v>1104</v>
      </c>
    </row>
    <row r="183" spans="1:47" hidden="1" outlineLevel="1" x14ac:dyDescent="0.25">
      <c r="A183" s="84" t="s">
        <v>262</v>
      </c>
      <c r="G183" s="12"/>
      <c r="H183" s="10"/>
      <c r="I183" s="10"/>
      <c r="J183" s="10"/>
      <c r="K183" s="10"/>
      <c r="L183" s="12"/>
      <c r="M183" s="10"/>
      <c r="N183" s="10"/>
      <c r="O183" s="10"/>
      <c r="P183" s="10"/>
      <c r="Q183" s="73">
        <f>IFERROR(Q181/Q182,"na")</f>
        <v>1.2113870381586918E-4</v>
      </c>
      <c r="R183" s="10"/>
      <c r="S183" s="10"/>
      <c r="T183" s="10"/>
      <c r="U183" s="10"/>
      <c r="V183" s="73">
        <f>IFERROR(V181/V182,"na")</f>
        <v>0</v>
      </c>
      <c r="W183" s="10"/>
      <c r="X183" s="10"/>
      <c r="Y183" s="10"/>
      <c r="Z183" s="10"/>
      <c r="AA183" s="73">
        <f>IFERROR(AA181/AA182,"na")</f>
        <v>0</v>
      </c>
      <c r="AB183" s="10"/>
      <c r="AC183" s="10"/>
      <c r="AD183" s="10"/>
      <c r="AE183" s="10"/>
      <c r="AF183" s="73">
        <f>IFERROR(AF181/AF182,"na")</f>
        <v>0</v>
      </c>
      <c r="AG183" s="10"/>
      <c r="AH183" s="10"/>
      <c r="AI183" s="10"/>
      <c r="AJ183" s="10"/>
      <c r="AK183" s="73">
        <f>IFERROR(AK180/AK182,"na")</f>
        <v>0</v>
      </c>
      <c r="AL183" s="10"/>
      <c r="AM183" s="10"/>
      <c r="AN183" s="10"/>
      <c r="AO183" s="10"/>
      <c r="AP183" s="73">
        <f>IFERROR(AP181/AP182,"na")</f>
        <v>0</v>
      </c>
      <c r="AQ183" s="10"/>
      <c r="AR183" s="10"/>
      <c r="AS183" s="10"/>
      <c r="AT183" s="10"/>
      <c r="AU183" s="73">
        <f>IFERROR(AU181/AU182,"na")</f>
        <v>0</v>
      </c>
    </row>
    <row r="184" spans="1:47" hidden="1" outlineLevel="1" x14ac:dyDescent="0.25">
      <c r="A184" s="11" t="s">
        <v>212</v>
      </c>
      <c r="G184" s="12">
        <v>0</v>
      </c>
      <c r="H184" s="10"/>
      <c r="I184" s="10"/>
      <c r="J184" s="10"/>
      <c r="K184" s="10"/>
      <c r="L184" s="12">
        <v>0</v>
      </c>
      <c r="M184" s="10"/>
      <c r="N184" s="10"/>
      <c r="O184" s="10"/>
      <c r="P184" s="10"/>
      <c r="Q184" s="12">
        <v>-5000</v>
      </c>
      <c r="R184" s="10"/>
      <c r="S184" s="10"/>
      <c r="T184" s="10"/>
      <c r="U184" s="10"/>
      <c r="V184" s="39">
        <v>0</v>
      </c>
      <c r="W184" s="10"/>
      <c r="X184" s="10"/>
      <c r="Y184" s="10"/>
      <c r="Z184" s="10"/>
      <c r="AA184" s="39">
        <v>0</v>
      </c>
      <c r="AB184" s="10"/>
      <c r="AC184" s="10"/>
      <c r="AD184" s="10"/>
      <c r="AE184" s="10"/>
      <c r="AF184" s="39">
        <v>0</v>
      </c>
      <c r="AG184" s="10"/>
      <c r="AH184" s="10"/>
      <c r="AI184" s="10"/>
      <c r="AJ184" s="10"/>
      <c r="AK184" s="39">
        <v>0</v>
      </c>
      <c r="AL184" s="10"/>
      <c r="AM184" s="10"/>
      <c r="AN184" s="10"/>
      <c r="AO184" s="10"/>
      <c r="AP184" s="39">
        <v>0</v>
      </c>
      <c r="AQ184" s="10"/>
      <c r="AR184" s="10"/>
      <c r="AS184" s="10"/>
      <c r="AT184" s="10"/>
      <c r="AU184" s="39">
        <v>0</v>
      </c>
    </row>
    <row r="185" spans="1:47" hidden="1" outlineLevel="1" x14ac:dyDescent="0.25">
      <c r="A185" s="11" t="s">
        <v>213</v>
      </c>
      <c r="G185" s="12">
        <v>0</v>
      </c>
      <c r="H185" s="10"/>
      <c r="I185" s="10"/>
      <c r="J185" s="10"/>
      <c r="K185" s="10"/>
      <c r="L185" s="12">
        <v>0</v>
      </c>
      <c r="M185" s="10"/>
      <c r="N185" s="10"/>
      <c r="O185" s="10"/>
      <c r="P185" s="10"/>
      <c r="Q185" s="12">
        <v>-44.3</v>
      </c>
      <c r="R185" s="10"/>
      <c r="S185" s="10"/>
      <c r="T185" s="10"/>
      <c r="U185" s="10"/>
      <c r="V185" s="39">
        <v>0</v>
      </c>
      <c r="W185" s="10"/>
      <c r="X185" s="10"/>
      <c r="Y185" s="10"/>
      <c r="Z185" s="10"/>
      <c r="AA185" s="39">
        <v>0</v>
      </c>
      <c r="AB185" s="10"/>
      <c r="AC185" s="10"/>
      <c r="AD185" s="10"/>
      <c r="AE185" s="10"/>
      <c r="AF185" s="39">
        <v>0</v>
      </c>
      <c r="AG185" s="10"/>
      <c r="AH185" s="10"/>
      <c r="AI185" s="10"/>
      <c r="AJ185" s="10"/>
      <c r="AK185" s="39">
        <v>0</v>
      </c>
      <c r="AL185" s="10"/>
      <c r="AM185" s="10"/>
      <c r="AN185" s="10"/>
      <c r="AO185" s="10"/>
      <c r="AP185" s="39">
        <v>0</v>
      </c>
      <c r="AQ185" s="10"/>
      <c r="AR185" s="10"/>
      <c r="AS185" s="10"/>
      <c r="AT185" s="10"/>
      <c r="AU185" s="39">
        <v>0</v>
      </c>
    </row>
    <row r="186" spans="1:47" collapsed="1" x14ac:dyDescent="0.25">
      <c r="A186" s="3" t="s">
        <v>120</v>
      </c>
      <c r="G186" s="10">
        <f>G187+G188</f>
        <v>116.2</v>
      </c>
      <c r="H186" s="10"/>
      <c r="I186" s="10"/>
      <c r="J186" s="10"/>
      <c r="K186" s="10"/>
      <c r="L186" s="10">
        <f>L187+L188</f>
        <v>55.1</v>
      </c>
      <c r="M186" s="10"/>
      <c r="N186" s="10"/>
      <c r="O186" s="10"/>
      <c r="P186" s="10"/>
      <c r="Q186" s="10">
        <f>Q187+Q188</f>
        <v>-4.2999999999999972</v>
      </c>
      <c r="R186" s="10"/>
      <c r="S186" s="10"/>
      <c r="T186" s="10"/>
      <c r="U186" s="10"/>
      <c r="V186" s="39">
        <v>0</v>
      </c>
      <c r="W186" s="10"/>
      <c r="X186" s="10"/>
      <c r="Y186" s="10"/>
      <c r="Z186" s="10"/>
      <c r="AA186" s="39">
        <v>0</v>
      </c>
      <c r="AB186" s="10"/>
      <c r="AC186" s="10"/>
      <c r="AD186" s="10"/>
      <c r="AE186" s="10"/>
      <c r="AF186" s="39">
        <v>0</v>
      </c>
      <c r="AG186" s="10"/>
      <c r="AH186" s="10"/>
      <c r="AI186" s="10"/>
      <c r="AJ186" s="10"/>
      <c r="AK186" s="39">
        <v>0</v>
      </c>
      <c r="AL186" s="10"/>
      <c r="AM186" s="10"/>
      <c r="AN186" s="10"/>
      <c r="AO186" s="10"/>
      <c r="AP186" s="39">
        <v>0</v>
      </c>
      <c r="AQ186" s="10"/>
      <c r="AR186" s="10"/>
      <c r="AS186" s="10"/>
      <c r="AT186" s="10"/>
      <c r="AU186" s="39">
        <v>0</v>
      </c>
    </row>
    <row r="187" spans="1:47" hidden="1" outlineLevel="1" x14ac:dyDescent="0.25">
      <c r="A187" s="11" t="s">
        <v>210</v>
      </c>
      <c r="G187" s="12">
        <v>65.900000000000006</v>
      </c>
      <c r="H187" s="10"/>
      <c r="I187" s="10"/>
      <c r="J187" s="10"/>
      <c r="K187" s="10"/>
      <c r="L187" s="12">
        <v>61.9</v>
      </c>
      <c r="M187" s="10"/>
      <c r="N187" s="10"/>
      <c r="O187" s="10"/>
      <c r="P187" s="10"/>
      <c r="Q187" s="12">
        <v>-43.5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</row>
    <row r="188" spans="1:47" hidden="1" outlineLevel="1" x14ac:dyDescent="0.25">
      <c r="A188" s="11" t="s">
        <v>211</v>
      </c>
      <c r="G188" s="12">
        <v>50.3</v>
      </c>
      <c r="H188" s="10"/>
      <c r="I188" s="10"/>
      <c r="J188" s="10"/>
      <c r="K188" s="10"/>
      <c r="L188" s="12">
        <v>-6.8</v>
      </c>
      <c r="M188" s="10"/>
      <c r="N188" s="10"/>
      <c r="O188" s="10"/>
      <c r="P188" s="10"/>
      <c r="Q188" s="12">
        <v>39.200000000000003</v>
      </c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</row>
    <row r="189" spans="1:47" collapsed="1" x14ac:dyDescent="0.25">
      <c r="A189" s="3" t="s">
        <v>121</v>
      </c>
      <c r="G189" s="10">
        <f>+G190+G191</f>
        <v>205.4</v>
      </c>
      <c r="H189" s="10"/>
      <c r="I189" s="10"/>
      <c r="J189" s="10"/>
      <c r="K189" s="10"/>
      <c r="L189" s="10">
        <f>+L190+L191</f>
        <v>667.8</v>
      </c>
      <c r="M189" s="10"/>
      <c r="N189" s="10"/>
      <c r="O189" s="10"/>
      <c r="P189" s="10"/>
      <c r="Q189" s="10">
        <f>+Q190+Q191</f>
        <v>81</v>
      </c>
      <c r="R189" s="10"/>
      <c r="S189" s="10"/>
      <c r="T189" s="10"/>
      <c r="U189" s="10"/>
      <c r="V189" s="10">
        <f>V116-Q116</f>
        <v>0</v>
      </c>
      <c r="W189" s="10"/>
      <c r="X189" s="10"/>
      <c r="Y189" s="10"/>
      <c r="Z189" s="10"/>
      <c r="AA189" s="10">
        <f>AA116-V116</f>
        <v>0</v>
      </c>
      <c r="AB189" s="10"/>
      <c r="AC189" s="10"/>
      <c r="AD189" s="10"/>
      <c r="AE189" s="10"/>
      <c r="AF189" s="10">
        <f>AF116-AA116</f>
        <v>0</v>
      </c>
      <c r="AG189" s="10"/>
      <c r="AH189" s="10"/>
      <c r="AI189" s="10"/>
      <c r="AJ189" s="10"/>
      <c r="AK189" s="10">
        <f>AK116-AF116</f>
        <v>0</v>
      </c>
      <c r="AL189" s="10"/>
      <c r="AM189" s="10"/>
      <c r="AN189" s="10"/>
      <c r="AO189" s="10"/>
      <c r="AP189" s="10">
        <f>AP116-AK116</f>
        <v>0</v>
      </c>
      <c r="AQ189" s="10"/>
      <c r="AR189" s="10"/>
      <c r="AS189" s="10"/>
      <c r="AT189" s="10"/>
      <c r="AU189" s="10">
        <f>AU116-AP116</f>
        <v>0</v>
      </c>
    </row>
    <row r="190" spans="1:47" hidden="1" outlineLevel="1" x14ac:dyDescent="0.25">
      <c r="A190" s="11" t="s">
        <v>214</v>
      </c>
      <c r="G190" s="12">
        <v>338.8</v>
      </c>
      <c r="H190" s="10"/>
      <c r="I190" s="10"/>
      <c r="J190" s="10"/>
      <c r="K190" s="10"/>
      <c r="L190" s="12">
        <v>807.1</v>
      </c>
      <c r="M190" s="10"/>
      <c r="N190" s="10"/>
      <c r="O190" s="10"/>
      <c r="P190" s="10"/>
      <c r="Q190" s="12">
        <v>236.4</v>
      </c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</row>
    <row r="191" spans="1:47" hidden="1" outlineLevel="1" x14ac:dyDescent="0.25">
      <c r="A191" s="11" t="s">
        <v>215</v>
      </c>
      <c r="G191" s="12">
        <v>-133.4</v>
      </c>
      <c r="H191" s="10"/>
      <c r="I191" s="10"/>
      <c r="J191" s="10"/>
      <c r="K191" s="10"/>
      <c r="L191" s="12">
        <v>-139.30000000000001</v>
      </c>
      <c r="M191" s="10"/>
      <c r="N191" s="10"/>
      <c r="O191" s="10"/>
      <c r="P191" s="10"/>
      <c r="Q191" s="12">
        <v>-155.4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</row>
    <row r="192" spans="1:47" s="8" customFormat="1" collapsed="1" x14ac:dyDescent="0.25">
      <c r="A192" s="4" t="s">
        <v>122</v>
      </c>
      <c r="G192" s="20">
        <f>G179+G180+G186+G189</f>
        <v>-3710.6</v>
      </c>
      <c r="H192" s="20"/>
      <c r="I192" s="20"/>
      <c r="J192" s="20"/>
      <c r="K192" s="20"/>
      <c r="L192" s="20">
        <f>L179+L180+L186+L189</f>
        <v>406.59999999999997</v>
      </c>
      <c r="M192" s="20"/>
      <c r="N192" s="20"/>
      <c r="O192" s="20"/>
      <c r="P192" s="20"/>
      <c r="Q192" s="20">
        <f>Q179+Q180+Q186+Q189</f>
        <v>-7897.5</v>
      </c>
      <c r="R192" s="20"/>
      <c r="S192" s="20"/>
      <c r="T192" s="20"/>
      <c r="U192" s="20"/>
      <c r="V192" s="20">
        <f>V179+V180+V186+V189</f>
        <v>-3046.8</v>
      </c>
      <c r="W192" s="20"/>
      <c r="X192" s="20"/>
      <c r="Y192" s="20"/>
      <c r="Z192" s="20"/>
      <c r="AA192" s="20">
        <f>AA179+AA180+AA186+AA189</f>
        <v>-3112.5077748754702</v>
      </c>
      <c r="AB192" s="20"/>
      <c r="AC192" s="20"/>
      <c r="AD192" s="20"/>
      <c r="AE192" s="20"/>
      <c r="AF192" s="20">
        <f>AF179+AF180+AF186+AF189</f>
        <v>-3485.6955598625473</v>
      </c>
      <c r="AG192" s="20"/>
      <c r="AH192" s="20"/>
      <c r="AI192" s="20"/>
      <c r="AJ192" s="20"/>
      <c r="AK192" s="20">
        <f>AK179+AK180+AK186+AK189</f>
        <v>-3787.9457178280036</v>
      </c>
      <c r="AL192" s="20"/>
      <c r="AM192" s="20"/>
      <c r="AN192" s="20"/>
      <c r="AO192" s="20"/>
      <c r="AP192" s="20">
        <f>AP179+AP180+AP186+AP189</f>
        <v>-4041.6221560277008</v>
      </c>
      <c r="AQ192" s="20"/>
      <c r="AR192" s="20"/>
      <c r="AS192" s="20"/>
      <c r="AT192" s="20"/>
      <c r="AU192" s="20">
        <f>AU179+AU180+AU186+AU189</f>
        <v>-4316.826674992185</v>
      </c>
    </row>
    <row r="193" spans="1:47" x14ac:dyDescent="0.25">
      <c r="A193" s="3"/>
    </row>
    <row r="194" spans="1:47" x14ac:dyDescent="0.25">
      <c r="A194" s="3" t="s">
        <v>216</v>
      </c>
      <c r="C194" s="10"/>
      <c r="D194" s="10"/>
      <c r="E194" s="10"/>
      <c r="F194" s="10"/>
      <c r="G194" s="12">
        <v>0</v>
      </c>
      <c r="H194" s="12"/>
      <c r="I194" s="12"/>
      <c r="J194" s="12"/>
      <c r="K194" s="12"/>
      <c r="L194" s="12">
        <v>0</v>
      </c>
      <c r="M194" s="12"/>
      <c r="N194" s="12"/>
      <c r="O194" s="12"/>
      <c r="P194" s="12"/>
      <c r="Q194" s="12">
        <v>0</v>
      </c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</row>
    <row r="195" spans="1:47" x14ac:dyDescent="0.25">
      <c r="A195" s="3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</row>
    <row r="196" spans="1:47" s="8" customFormat="1" x14ac:dyDescent="0.25">
      <c r="A196" s="4" t="s">
        <v>123</v>
      </c>
      <c r="C196" s="20"/>
      <c r="D196" s="20"/>
      <c r="E196" s="20"/>
      <c r="F196" s="20"/>
      <c r="G196" s="20">
        <f>G165+G177+G192</f>
        <v>452.69999999999754</v>
      </c>
      <c r="H196" s="20"/>
      <c r="I196" s="20"/>
      <c r="J196" s="20"/>
      <c r="K196" s="20"/>
      <c r="L196" s="20">
        <f>L165+L177+L192</f>
        <v>-445.60000000000258</v>
      </c>
      <c r="M196" s="20"/>
      <c r="N196" s="20"/>
      <c r="O196" s="20"/>
      <c r="P196" s="20"/>
      <c r="Q196" s="20">
        <f>Q165+Q177+Q192</f>
        <v>459.39999999999782</v>
      </c>
      <c r="R196" s="20"/>
      <c r="S196" s="20"/>
      <c r="T196" s="20"/>
      <c r="U196" s="20"/>
      <c r="V196" s="20">
        <f>V165+V177+V192</f>
        <v>5777.9113182933206</v>
      </c>
      <c r="W196" s="20"/>
      <c r="X196" s="20"/>
      <c r="Y196" s="20"/>
      <c r="Z196" s="20"/>
      <c r="AA196" s="20">
        <f>AA165+AA177+AA192</f>
        <v>5699.810790681895</v>
      </c>
      <c r="AB196" s="20"/>
      <c r="AC196" s="20"/>
      <c r="AD196" s="20"/>
      <c r="AE196" s="20"/>
      <c r="AF196" s="20">
        <f>AF165+AF177+AF192</f>
        <v>5821.984956827825</v>
      </c>
      <c r="AG196" s="20"/>
      <c r="AH196" s="20"/>
      <c r="AI196" s="20"/>
      <c r="AJ196" s="20"/>
      <c r="AK196" s="20">
        <f>AK165+AK177+AK192</f>
        <v>7276.3560134762711</v>
      </c>
      <c r="AL196" s="20"/>
      <c r="AM196" s="20"/>
      <c r="AN196" s="20"/>
      <c r="AO196" s="20"/>
      <c r="AP196" s="20">
        <f>AP165+AP177+AP192</f>
        <v>7212.6536795308275</v>
      </c>
      <c r="AQ196" s="20"/>
      <c r="AR196" s="20"/>
      <c r="AS196" s="20"/>
      <c r="AT196" s="20"/>
      <c r="AU196" s="20">
        <f>AU165+AU177+AU192</f>
        <v>7963.5218595247125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7"/>
  <sheetViews>
    <sheetView showGridLines="0" topLeftCell="A8" zoomScale="80" zoomScaleNormal="85" workbookViewId="0">
      <selection activeCell="X10" sqref="X10"/>
    </sheetView>
  </sheetViews>
  <sheetFormatPr defaultRowHeight="14.4" outlineLevelCol="1" x14ac:dyDescent="0.3"/>
  <cols>
    <col min="1" max="1" width="29.21875" bestFit="1" customWidth="1"/>
    <col min="3" max="6" width="10.109375" hidden="1" customWidth="1" outlineLevel="1"/>
    <col min="7" max="7" width="10.109375" customWidth="1" collapsed="1"/>
    <col min="8" max="11" width="10.109375" hidden="1" customWidth="1" outlineLevel="1"/>
    <col min="12" max="12" width="10.109375" customWidth="1" collapsed="1"/>
    <col min="13" max="16" width="10.109375" hidden="1" customWidth="1" outlineLevel="1"/>
    <col min="17" max="17" width="10.109375" customWidth="1" collapsed="1"/>
    <col min="18" max="21" width="10.109375" hidden="1" customWidth="1" outlineLevel="1"/>
    <col min="22" max="22" width="10.109375" customWidth="1" collapsed="1"/>
    <col min="23" max="26" width="10.109375" customWidth="1" outlineLevel="1"/>
    <col min="27" max="27" width="10.109375" customWidth="1"/>
    <col min="28" max="31" width="10.109375" hidden="1" customWidth="1" outlineLevel="1"/>
    <col min="32" max="32" width="10.109375" customWidth="1" collapsed="1"/>
    <col min="33" max="36" width="10.109375" hidden="1" customWidth="1" outlineLevel="1"/>
    <col min="37" max="37" width="10.109375" customWidth="1" collapsed="1"/>
    <col min="38" max="41" width="10.109375" hidden="1" customWidth="1" outlineLevel="1"/>
    <col min="42" max="42" width="10.109375" customWidth="1" collapsed="1"/>
    <col min="43" max="46" width="10.109375" hidden="1" customWidth="1" outlineLevel="1"/>
    <col min="47" max="47" width="10.109375" customWidth="1" collapsed="1"/>
  </cols>
  <sheetData>
    <row r="1" spans="1:47" s="9" customFormat="1" ht="13.2" x14ac:dyDescent="0.25">
      <c r="A1" s="74" t="s">
        <v>188</v>
      </c>
      <c r="B1" s="76"/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2" t="s">
        <v>9</v>
      </c>
      <c r="V1" s="2" t="s">
        <v>10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</row>
    <row r="2" spans="1:47" s="9" customFormat="1" ht="13.2" x14ac:dyDescent="0.25">
      <c r="A2" s="74"/>
      <c r="B2" s="76"/>
      <c r="C2" s="6">
        <v>42185</v>
      </c>
      <c r="D2" s="6">
        <v>42277</v>
      </c>
      <c r="E2" s="6">
        <v>42369</v>
      </c>
      <c r="F2" s="6">
        <v>42460</v>
      </c>
      <c r="G2" s="6">
        <v>42460</v>
      </c>
      <c r="H2" s="6">
        <v>42551</v>
      </c>
      <c r="I2" s="6">
        <v>42643</v>
      </c>
      <c r="J2" s="6">
        <v>42735</v>
      </c>
      <c r="K2" s="6">
        <v>42825</v>
      </c>
      <c r="L2" s="6">
        <v>42825</v>
      </c>
      <c r="M2" s="6">
        <v>42916</v>
      </c>
      <c r="N2" s="6">
        <v>43008</v>
      </c>
      <c r="O2" s="6">
        <v>43100</v>
      </c>
      <c r="P2" s="6">
        <v>43190</v>
      </c>
      <c r="Q2" s="6">
        <v>43190</v>
      </c>
      <c r="R2" s="6">
        <v>43281</v>
      </c>
      <c r="S2" s="6">
        <v>43373</v>
      </c>
      <c r="T2" s="6">
        <v>43465</v>
      </c>
      <c r="U2" s="7">
        <v>43555</v>
      </c>
      <c r="V2" s="7">
        <v>43555</v>
      </c>
      <c r="W2" s="7">
        <v>43646</v>
      </c>
      <c r="X2" s="7">
        <v>43738</v>
      </c>
      <c r="Y2" s="7">
        <v>43830</v>
      </c>
      <c r="Z2" s="7">
        <v>43921</v>
      </c>
      <c r="AA2" s="7">
        <v>43921</v>
      </c>
      <c r="AB2" s="7">
        <v>44012</v>
      </c>
      <c r="AC2" s="7">
        <v>44104</v>
      </c>
      <c r="AD2" s="7">
        <v>44196</v>
      </c>
      <c r="AE2" s="7">
        <v>44286</v>
      </c>
      <c r="AF2" s="7">
        <v>44286</v>
      </c>
      <c r="AG2" s="7">
        <v>44377</v>
      </c>
      <c r="AH2" s="7">
        <v>44469</v>
      </c>
      <c r="AI2" s="7">
        <v>44561</v>
      </c>
      <c r="AJ2" s="7">
        <v>44651</v>
      </c>
      <c r="AK2" s="7">
        <v>44651</v>
      </c>
      <c r="AL2" s="7">
        <v>44742</v>
      </c>
      <c r="AM2" s="7">
        <v>44834</v>
      </c>
      <c r="AN2" s="7">
        <v>44926</v>
      </c>
      <c r="AO2" s="7">
        <v>45016</v>
      </c>
      <c r="AP2" s="7">
        <v>45016</v>
      </c>
      <c r="AQ2" s="7">
        <v>45107</v>
      </c>
      <c r="AR2" s="7">
        <v>45199</v>
      </c>
      <c r="AS2" s="7">
        <v>45291</v>
      </c>
      <c r="AT2" s="7">
        <v>45382</v>
      </c>
      <c r="AU2" s="7">
        <v>45382</v>
      </c>
    </row>
    <row r="3" spans="1:47" s="9" customFormat="1" ht="13.2" x14ac:dyDescent="0.25">
      <c r="A3" s="76"/>
      <c r="B3" s="76"/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11</v>
      </c>
      <c r="T3" s="1" t="s">
        <v>11</v>
      </c>
      <c r="U3" s="2" t="s">
        <v>12</v>
      </c>
      <c r="V3" s="2" t="s">
        <v>12</v>
      </c>
      <c r="W3" s="2" t="s">
        <v>12</v>
      </c>
      <c r="X3" s="2" t="s">
        <v>12</v>
      </c>
      <c r="Y3" s="2" t="s">
        <v>12</v>
      </c>
      <c r="Z3" s="2" t="s">
        <v>12</v>
      </c>
      <c r="AA3" s="2" t="s">
        <v>12</v>
      </c>
      <c r="AB3" s="2" t="s">
        <v>12</v>
      </c>
      <c r="AC3" s="2" t="s">
        <v>12</v>
      </c>
      <c r="AD3" s="2" t="s">
        <v>12</v>
      </c>
      <c r="AE3" s="2" t="s">
        <v>12</v>
      </c>
      <c r="AF3" s="2" t="s">
        <v>12</v>
      </c>
      <c r="AG3" s="2" t="s">
        <v>12</v>
      </c>
      <c r="AH3" s="2" t="s">
        <v>12</v>
      </c>
      <c r="AI3" s="2" t="s">
        <v>12</v>
      </c>
      <c r="AJ3" s="2" t="s">
        <v>12</v>
      </c>
      <c r="AK3" s="2" t="s">
        <v>12</v>
      </c>
      <c r="AL3" s="2" t="s">
        <v>12</v>
      </c>
      <c r="AM3" s="2" t="s">
        <v>12</v>
      </c>
      <c r="AN3" s="2" t="s">
        <v>12</v>
      </c>
      <c r="AO3" s="2" t="s">
        <v>12</v>
      </c>
      <c r="AP3" s="2" t="s">
        <v>12</v>
      </c>
      <c r="AQ3" s="2" t="s">
        <v>12</v>
      </c>
      <c r="AR3" s="2" t="s">
        <v>12</v>
      </c>
      <c r="AS3" s="2" t="s">
        <v>12</v>
      </c>
      <c r="AT3" s="2" t="s">
        <v>12</v>
      </c>
      <c r="AU3" s="2" t="s">
        <v>12</v>
      </c>
    </row>
    <row r="6" spans="1:47" s="8" customFormat="1" ht="13.2" x14ac:dyDescent="0.25">
      <c r="A6" s="8" t="s">
        <v>189</v>
      </c>
      <c r="B6" s="8" t="s">
        <v>146</v>
      </c>
      <c r="C6" s="20">
        <f>Financials!C9</f>
        <v>14694.6</v>
      </c>
      <c r="D6" s="20">
        <f>Financials!D9</f>
        <v>13200.6</v>
      </c>
      <c r="E6" s="20">
        <f>Financials!E9</f>
        <v>13390.800000000001</v>
      </c>
      <c r="F6" s="20">
        <f>Financials!F9</f>
        <v>12408.5</v>
      </c>
      <c r="G6" s="20">
        <f>C6+D6+E6+F6</f>
        <v>53694.5</v>
      </c>
      <c r="H6" s="20">
        <f>Financials!H9</f>
        <v>15693.7</v>
      </c>
      <c r="I6" s="20">
        <f>Financials!I9</f>
        <v>14176.800000000001</v>
      </c>
      <c r="J6" s="20">
        <f>Financials!J9</f>
        <v>13343.499999999998</v>
      </c>
      <c r="K6" s="20">
        <f>Financials!K9</f>
        <v>12953.900000000001</v>
      </c>
      <c r="L6" s="20">
        <f t="shared" ref="L6" si="0">H6+I6+J6+K6</f>
        <v>56167.9</v>
      </c>
      <c r="M6" s="20">
        <f>Financials!M9</f>
        <v>15289.2</v>
      </c>
      <c r="N6" s="20">
        <f>Financials!N9</f>
        <v>15298.7</v>
      </c>
      <c r="O6" s="20">
        <f>Financials!O9</f>
        <v>15429</v>
      </c>
      <c r="P6" s="20">
        <f>Financials!P9</f>
        <v>14853.1</v>
      </c>
      <c r="Q6" s="20">
        <f t="shared" ref="Q6" si="1">M6+N6+O6+P6</f>
        <v>60870</v>
      </c>
      <c r="R6" s="20">
        <f>Financials!R9</f>
        <v>18340.7</v>
      </c>
      <c r="S6" s="20">
        <f>Financials!S9</f>
        <v>17574.400000000001</v>
      </c>
      <c r="T6" s="20">
        <f>Financials!T9</f>
        <v>18483</v>
      </c>
      <c r="U6" s="20">
        <f>U23+U31+U39</f>
        <v>17740.437065858412</v>
      </c>
      <c r="V6" s="20">
        <f t="shared" ref="V6" si="2">R6+S6+T6+U6</f>
        <v>72138.537065858414</v>
      </c>
      <c r="W6" s="20">
        <f t="shared" ref="W6:AU6" si="3">W23+W31+W39</f>
        <v>19611.710510000004</v>
      </c>
      <c r="X6" s="20">
        <f t="shared" si="3"/>
        <v>18792.305920000006</v>
      </c>
      <c r="Y6" s="20">
        <f t="shared" si="3"/>
        <v>19763.871900000002</v>
      </c>
      <c r="Z6" s="20">
        <f t="shared" si="3"/>
        <v>18980.101127733542</v>
      </c>
      <c r="AA6" s="20">
        <f>AA23+AA31+AA39</f>
        <v>77147.989457733551</v>
      </c>
      <c r="AB6" s="20">
        <f t="shared" si="3"/>
        <v>21442.95604220001</v>
      </c>
      <c r="AC6" s="20">
        <f t="shared" si="3"/>
        <v>20547.039462400007</v>
      </c>
      <c r="AD6" s="20">
        <f t="shared" si="3"/>
        <v>21609.325518000001</v>
      </c>
      <c r="AE6" s="20">
        <f t="shared" si="3"/>
        <v>20765.897919313145</v>
      </c>
      <c r="AF6" s="20">
        <f t="shared" si="3"/>
        <v>84365.218941913176</v>
      </c>
      <c r="AG6" s="20">
        <f t="shared" si="3"/>
        <v>22930.753993014008</v>
      </c>
      <c r="AH6" s="20">
        <f t="shared" si="3"/>
        <v>21972.675141888012</v>
      </c>
      <c r="AI6" s="20">
        <f t="shared" si="3"/>
        <v>23108.666847660006</v>
      </c>
      <c r="AJ6" s="20">
        <f t="shared" si="3"/>
        <v>22212.59538108456</v>
      </c>
      <c r="AK6" s="20">
        <f t="shared" si="3"/>
        <v>90224.691363646591</v>
      </c>
      <c r="AL6" s="20">
        <f t="shared" si="3"/>
        <v>24525.983888931427</v>
      </c>
      <c r="AM6" s="20">
        <f t="shared" si="3"/>
        <v>23501.254110128648</v>
      </c>
      <c r="AN6" s="20">
        <f t="shared" si="3"/>
        <v>24716.273654719811</v>
      </c>
      <c r="AO6" s="20">
        <f t="shared" si="3"/>
        <v>23764.100407620524</v>
      </c>
      <c r="AP6" s="20">
        <f t="shared" si="3"/>
        <v>96507.612061400403</v>
      </c>
      <c r="AQ6" s="20">
        <f t="shared" si="3"/>
        <v>26236.648093152442</v>
      </c>
      <c r="AR6" s="20">
        <f t="shared" si="3"/>
        <v>25140.444380437948</v>
      </c>
      <c r="AS6" s="20">
        <f t="shared" si="3"/>
        <v>26440.210390319706</v>
      </c>
      <c r="AT6" s="20">
        <f t="shared" si="3"/>
        <v>25428.239221678024</v>
      </c>
      <c r="AU6" s="20">
        <f t="shared" si="3"/>
        <v>103245.54208558812</v>
      </c>
    </row>
    <row r="7" spans="1:47" s="21" customFormat="1" ht="13.2" x14ac:dyDescent="0.25">
      <c r="A7" s="34" t="s">
        <v>144</v>
      </c>
      <c r="B7" s="35" t="s">
        <v>145</v>
      </c>
      <c r="C7" s="28" t="s">
        <v>147</v>
      </c>
      <c r="D7" s="28" t="s">
        <v>147</v>
      </c>
      <c r="E7" s="28" t="s">
        <v>147</v>
      </c>
      <c r="F7" s="28" t="s">
        <v>147</v>
      </c>
      <c r="G7" s="28" t="s">
        <v>147</v>
      </c>
      <c r="H7" s="29">
        <f>IFERROR(H6/C6-1,"na")</f>
        <v>6.7990962666557797E-2</v>
      </c>
      <c r="I7" s="29">
        <f t="shared" ref="I7:AU7" si="4">IFERROR(I6/D6-1,"na")</f>
        <v>7.3951184037089224E-2</v>
      </c>
      <c r="J7" s="29">
        <f t="shared" si="4"/>
        <v>-3.5322758909104301E-3</v>
      </c>
      <c r="K7" s="29">
        <f t="shared" si="4"/>
        <v>4.3953741386952627E-2</v>
      </c>
      <c r="L7" s="29">
        <f t="shared" si="4"/>
        <v>4.6064308262484976E-2</v>
      </c>
      <c r="M7" s="29">
        <f t="shared" si="4"/>
        <v>-2.5774673913736112E-2</v>
      </c>
      <c r="N7" s="29">
        <f t="shared" si="4"/>
        <v>7.9136335421251536E-2</v>
      </c>
      <c r="O7" s="29">
        <f t="shared" si="4"/>
        <v>0.15629332633866699</v>
      </c>
      <c r="P7" s="29">
        <f t="shared" si="4"/>
        <v>0.14661221717011852</v>
      </c>
      <c r="Q7" s="29">
        <f t="shared" si="4"/>
        <v>8.371507569269987E-2</v>
      </c>
      <c r="R7" s="29">
        <f t="shared" si="4"/>
        <v>0.19958532820553065</v>
      </c>
      <c r="S7" s="29">
        <f t="shared" si="4"/>
        <v>0.14875120108244499</v>
      </c>
      <c r="T7" s="29">
        <f t="shared" si="4"/>
        <v>0.1979389461403851</v>
      </c>
      <c r="U7" s="29">
        <f t="shared" si="4"/>
        <v>0.19439289211399724</v>
      </c>
      <c r="V7" s="29">
        <f t="shared" si="4"/>
        <v>0.18512464376307558</v>
      </c>
      <c r="W7" s="29">
        <f t="shared" si="4"/>
        <v>6.9300000000000139E-2</v>
      </c>
      <c r="X7" s="29">
        <f t="shared" si="4"/>
        <v>6.9300000000000361E-2</v>
      </c>
      <c r="Y7" s="29">
        <f t="shared" si="4"/>
        <v>6.9300000000000139E-2</v>
      </c>
      <c r="Z7" s="29">
        <f t="shared" si="4"/>
        <v>6.9877876022619079E-2</v>
      </c>
      <c r="AA7" s="29">
        <f t="shared" si="4"/>
        <v>6.9442112297090075E-2</v>
      </c>
      <c r="AB7" s="29">
        <f t="shared" si="4"/>
        <v>9.3375105209015485E-2</v>
      </c>
      <c r="AC7" s="29">
        <f t="shared" si="4"/>
        <v>9.3375105209015263E-2</v>
      </c>
      <c r="AD7" s="29">
        <f t="shared" si="4"/>
        <v>9.3375105209015263E-2</v>
      </c>
      <c r="AE7" s="29">
        <f t="shared" si="4"/>
        <v>9.4087843871928367E-2</v>
      </c>
      <c r="AF7" s="29">
        <f t="shared" si="4"/>
        <v>9.3550454586164733E-2</v>
      </c>
      <c r="AG7" s="29">
        <f t="shared" si="4"/>
        <v>6.9383994813308147E-2</v>
      </c>
      <c r="AH7" s="29">
        <f t="shared" si="4"/>
        <v>6.9383994813308369E-2</v>
      </c>
      <c r="AI7" s="29">
        <f t="shared" si="4"/>
        <v>6.9383994813308369E-2</v>
      </c>
      <c r="AJ7" s="29">
        <f t="shared" si="4"/>
        <v>6.9666983214143885E-2</v>
      </c>
      <c r="AK7" s="29">
        <f t="shared" si="4"/>
        <v>6.9453650393152655E-2</v>
      </c>
      <c r="AL7" s="29">
        <f t="shared" si="4"/>
        <v>6.9567267452409709E-2</v>
      </c>
      <c r="AM7" s="29">
        <f t="shared" si="4"/>
        <v>6.9567267452409709E-2</v>
      </c>
      <c r="AN7" s="29">
        <f t="shared" si="4"/>
        <v>6.9567267452409931E-2</v>
      </c>
      <c r="AO7" s="29">
        <f t="shared" si="4"/>
        <v>6.9847984889562786E-2</v>
      </c>
      <c r="AP7" s="29">
        <f t="shared" si="4"/>
        <v>6.9636377833987684E-2</v>
      </c>
      <c r="AQ7" s="29">
        <f t="shared" si="4"/>
        <v>6.9749055204795907E-2</v>
      </c>
      <c r="AR7" s="29">
        <f t="shared" si="4"/>
        <v>6.9749055204795907E-2</v>
      </c>
      <c r="AS7" s="29">
        <f t="shared" si="4"/>
        <v>6.9749055204795907E-2</v>
      </c>
      <c r="AT7" s="29">
        <f t="shared" si="4"/>
        <v>7.00274273173771E-2</v>
      </c>
      <c r="AU7" s="29">
        <f t="shared" si="4"/>
        <v>6.9817601744211588E-2</v>
      </c>
    </row>
    <row r="8" spans="1:47" s="9" customFormat="1" ht="13.2" x14ac:dyDescent="0.25"/>
    <row r="9" spans="1:47" s="45" customFormat="1" ht="13.2" x14ac:dyDescent="0.25">
      <c r="A9" s="45" t="s">
        <v>194</v>
      </c>
      <c r="B9" s="45" t="s">
        <v>145</v>
      </c>
      <c r="C9" s="46">
        <f t="shared" ref="C9:T9" si="5">C11+C16+C21</f>
        <v>1</v>
      </c>
      <c r="D9" s="46">
        <f t="shared" si="5"/>
        <v>1</v>
      </c>
      <c r="E9" s="46">
        <f t="shared" si="5"/>
        <v>1</v>
      </c>
      <c r="F9" s="46">
        <f t="shared" si="5"/>
        <v>1</v>
      </c>
      <c r="G9" s="46">
        <f t="shared" si="5"/>
        <v>1</v>
      </c>
      <c r="H9" s="46">
        <f t="shared" si="5"/>
        <v>1</v>
      </c>
      <c r="I9" s="46">
        <f t="shared" si="5"/>
        <v>1</v>
      </c>
      <c r="J9" s="46">
        <f t="shared" si="5"/>
        <v>1</v>
      </c>
      <c r="K9" s="46">
        <f t="shared" si="5"/>
        <v>1</v>
      </c>
      <c r="L9" s="46">
        <f t="shared" si="5"/>
        <v>1</v>
      </c>
      <c r="M9" s="46">
        <f t="shared" si="5"/>
        <v>1</v>
      </c>
      <c r="N9" s="46">
        <f t="shared" si="5"/>
        <v>1</v>
      </c>
      <c r="O9" s="46">
        <f t="shared" si="5"/>
        <v>1</v>
      </c>
      <c r="P9" s="46">
        <f t="shared" si="5"/>
        <v>1</v>
      </c>
      <c r="Q9" s="46">
        <f t="shared" si="5"/>
        <v>1</v>
      </c>
      <c r="R9" s="46">
        <f t="shared" si="5"/>
        <v>1</v>
      </c>
      <c r="S9" s="46">
        <f t="shared" si="5"/>
        <v>1</v>
      </c>
      <c r="T9" s="46">
        <f t="shared" si="5"/>
        <v>1</v>
      </c>
      <c r="U9" s="46">
        <f t="shared" ref="U9:V9" si="6">U11+U16+U21</f>
        <v>1</v>
      </c>
      <c r="V9" s="46">
        <f t="shared" si="6"/>
        <v>1</v>
      </c>
      <c r="W9" s="46">
        <f>W11+W16+W21</f>
        <v>1</v>
      </c>
      <c r="X9" s="46">
        <f t="shared" ref="X9:AU9" si="7">X11+X16+X21</f>
        <v>0.99999999999999989</v>
      </c>
      <c r="Y9" s="46">
        <f t="shared" si="7"/>
        <v>1</v>
      </c>
      <c r="Z9" s="46">
        <f t="shared" si="7"/>
        <v>0.99999999999999989</v>
      </c>
      <c r="AA9" s="46">
        <f t="shared" si="7"/>
        <v>1</v>
      </c>
      <c r="AB9" s="46">
        <f t="shared" si="7"/>
        <v>0.99999999999999978</v>
      </c>
      <c r="AC9" s="46">
        <f t="shared" si="7"/>
        <v>0.99999999999999989</v>
      </c>
      <c r="AD9" s="46">
        <f t="shared" si="7"/>
        <v>1.0000000000000002</v>
      </c>
      <c r="AE9" s="46">
        <f t="shared" si="7"/>
        <v>0.99999999999999989</v>
      </c>
      <c r="AF9" s="46">
        <f t="shared" si="7"/>
        <v>0.99999999999999989</v>
      </c>
      <c r="AG9" s="46">
        <f t="shared" si="7"/>
        <v>1</v>
      </c>
      <c r="AH9" s="46">
        <f t="shared" si="7"/>
        <v>0.99999999999999978</v>
      </c>
      <c r="AI9" s="46">
        <f t="shared" si="7"/>
        <v>1</v>
      </c>
      <c r="AJ9" s="46">
        <f t="shared" si="7"/>
        <v>1</v>
      </c>
      <c r="AK9" s="46">
        <f t="shared" si="7"/>
        <v>0.99999999999999989</v>
      </c>
      <c r="AL9" s="46">
        <f t="shared" si="7"/>
        <v>1</v>
      </c>
      <c r="AM9" s="46">
        <f t="shared" si="7"/>
        <v>1</v>
      </c>
      <c r="AN9" s="46">
        <f t="shared" si="7"/>
        <v>0.99999999999999989</v>
      </c>
      <c r="AO9" s="46">
        <f t="shared" si="7"/>
        <v>1</v>
      </c>
      <c r="AP9" s="46">
        <f t="shared" si="7"/>
        <v>1</v>
      </c>
      <c r="AQ9" s="46">
        <f t="shared" si="7"/>
        <v>1</v>
      </c>
      <c r="AR9" s="46">
        <f t="shared" si="7"/>
        <v>1.0000000000000002</v>
      </c>
      <c r="AS9" s="46">
        <f t="shared" si="7"/>
        <v>1</v>
      </c>
      <c r="AT9" s="46">
        <f t="shared" si="7"/>
        <v>1</v>
      </c>
      <c r="AU9" s="46">
        <f t="shared" si="7"/>
        <v>1</v>
      </c>
    </row>
    <row r="10" spans="1:47" s="9" customFormat="1" ht="13.2" x14ac:dyDescent="0.25"/>
    <row r="11" spans="1:47" s="45" customFormat="1" ht="13.2" x14ac:dyDescent="0.25">
      <c r="A11" s="45" t="s">
        <v>190</v>
      </c>
      <c r="B11" s="45" t="s">
        <v>145</v>
      </c>
      <c r="C11" s="46">
        <f t="shared" ref="C11:E11" si="8">SUM(C12:C14)</f>
        <v>0.82</v>
      </c>
      <c r="D11" s="46">
        <f t="shared" si="8"/>
        <v>0.82</v>
      </c>
      <c r="E11" s="46">
        <f t="shared" si="8"/>
        <v>0.82</v>
      </c>
      <c r="F11" s="46">
        <f t="shared" ref="F11:T11" si="9">SUM(F12:F14)</f>
        <v>0.84</v>
      </c>
      <c r="G11" s="46">
        <f t="shared" si="9"/>
        <v>0.82462188864781305</v>
      </c>
      <c r="H11" s="46">
        <f t="shared" si="9"/>
        <v>0.83</v>
      </c>
      <c r="I11" s="46">
        <f t="shared" si="9"/>
        <v>0.83</v>
      </c>
      <c r="J11" s="46">
        <f t="shared" si="9"/>
        <v>0.83</v>
      </c>
      <c r="K11" s="46">
        <f t="shared" si="9"/>
        <v>0.83</v>
      </c>
      <c r="L11" s="46">
        <f t="shared" si="9"/>
        <v>0.83</v>
      </c>
      <c r="M11" s="46">
        <f t="shared" si="9"/>
        <v>0.84</v>
      </c>
      <c r="N11" s="46">
        <f t="shared" si="9"/>
        <v>0.84</v>
      </c>
      <c r="O11" s="46">
        <f t="shared" si="9"/>
        <v>0.84</v>
      </c>
      <c r="P11" s="46">
        <f t="shared" si="9"/>
        <v>0.84</v>
      </c>
      <c r="Q11" s="46">
        <f t="shared" si="9"/>
        <v>0.84000000000000008</v>
      </c>
      <c r="R11" s="46">
        <f t="shared" si="9"/>
        <v>0.84</v>
      </c>
      <c r="S11" s="46">
        <f t="shared" si="9"/>
        <v>0.84</v>
      </c>
      <c r="T11" s="46">
        <f t="shared" si="9"/>
        <v>0.84</v>
      </c>
      <c r="U11" s="46">
        <f t="shared" ref="U11:V11" si="10">SUM(U12:U14)</f>
        <v>0.83616651521563956</v>
      </c>
      <c r="V11" s="46">
        <f t="shared" si="10"/>
        <v>0.83905726261820668</v>
      </c>
      <c r="W11" s="46">
        <f>SUM(W12:W14)</f>
        <v>0.84045637332834577</v>
      </c>
      <c r="X11" s="46">
        <f t="shared" ref="X11:AU11" si="11">SUM(X12:X14)</f>
        <v>0.84045637332834555</v>
      </c>
      <c r="Y11" s="46">
        <f t="shared" si="11"/>
        <v>0.84045637332834577</v>
      </c>
      <c r="Z11" s="46">
        <f t="shared" si="11"/>
        <v>0.83649255558825775</v>
      </c>
      <c r="AA11" s="46">
        <f t="shared" si="11"/>
        <v>0.83948118703914254</v>
      </c>
      <c r="AB11" s="46">
        <f t="shared" si="11"/>
        <v>0.84237725656162687</v>
      </c>
      <c r="AC11" s="46">
        <f t="shared" si="11"/>
        <v>0.84237725656162699</v>
      </c>
      <c r="AD11" s="46">
        <f t="shared" si="11"/>
        <v>0.8423772565616271</v>
      </c>
      <c r="AE11" s="46">
        <f t="shared" si="11"/>
        <v>0.83821198591132862</v>
      </c>
      <c r="AF11" s="46">
        <f t="shared" si="11"/>
        <v>0.84135200484990014</v>
      </c>
      <c r="AG11" s="46">
        <f t="shared" si="11"/>
        <v>0.84278632158618538</v>
      </c>
      <c r="AH11" s="46">
        <f t="shared" si="11"/>
        <v>0.84278632158618516</v>
      </c>
      <c r="AI11" s="46">
        <f t="shared" si="11"/>
        <v>0.84278632158618538</v>
      </c>
      <c r="AJ11" s="46">
        <f t="shared" si="11"/>
        <v>0.83844966465173365</v>
      </c>
      <c r="AK11" s="46">
        <f t="shared" si="11"/>
        <v>0.8417186714303837</v>
      </c>
      <c r="AL11" s="46">
        <f t="shared" si="11"/>
        <v>0.84319910453270408</v>
      </c>
      <c r="AM11" s="46">
        <f t="shared" si="11"/>
        <v>0.84319910453270408</v>
      </c>
      <c r="AN11" s="46">
        <f t="shared" si="11"/>
        <v>0.84319910453270397</v>
      </c>
      <c r="AO11" s="46">
        <f t="shared" si="11"/>
        <v>0.83869222660581888</v>
      </c>
      <c r="AP11" s="46">
        <f t="shared" si="11"/>
        <v>0.84208932782917068</v>
      </c>
      <c r="AQ11" s="46">
        <f t="shared" si="11"/>
        <v>0.84361537170392964</v>
      </c>
      <c r="AR11" s="46">
        <f t="shared" si="11"/>
        <v>0.84361537170392986</v>
      </c>
      <c r="AS11" s="46">
        <f t="shared" si="11"/>
        <v>0.84361537170392953</v>
      </c>
      <c r="AT11" s="46">
        <f t="shared" si="11"/>
        <v>0.83893948256027695</v>
      </c>
      <c r="AU11" s="46">
        <f t="shared" si="11"/>
        <v>0.84246375173742027</v>
      </c>
    </row>
    <row r="12" spans="1:47" s="21" customFormat="1" ht="13.2" x14ac:dyDescent="0.25">
      <c r="A12" s="21" t="s">
        <v>191</v>
      </c>
      <c r="B12" s="45" t="s">
        <v>145</v>
      </c>
      <c r="C12" s="47">
        <v>0.5</v>
      </c>
      <c r="D12" s="47">
        <v>0.5</v>
      </c>
      <c r="E12" s="47">
        <v>0.5</v>
      </c>
      <c r="F12" s="47">
        <v>0.53</v>
      </c>
      <c r="G12" s="48">
        <f>IFERROR(G24/G$6,"na")</f>
        <v>0.50693283297171965</v>
      </c>
      <c r="H12" s="47">
        <v>0.53</v>
      </c>
      <c r="I12" s="47">
        <v>0.53</v>
      </c>
      <c r="J12" s="47">
        <v>0.53</v>
      </c>
      <c r="K12" s="47">
        <v>0.53</v>
      </c>
      <c r="L12" s="48">
        <f>IFERROR(L24/L$6,"na")</f>
        <v>0.53</v>
      </c>
      <c r="M12" s="47">
        <v>0.55000000000000004</v>
      </c>
      <c r="N12" s="47">
        <v>0.55000000000000004</v>
      </c>
      <c r="O12" s="47">
        <v>0.55000000000000004</v>
      </c>
      <c r="P12" s="47">
        <v>0.55000000000000004</v>
      </c>
      <c r="Q12" s="48">
        <f>IFERROR(Q24/Q$6,"na")</f>
        <v>0.55000000000000004</v>
      </c>
      <c r="R12" s="47">
        <v>0.55000000000000004</v>
      </c>
      <c r="S12" s="47">
        <v>0.55000000000000004</v>
      </c>
      <c r="T12" s="47">
        <v>0.55000000000000004</v>
      </c>
      <c r="U12" s="48">
        <f t="shared" ref="U12:V12" si="12">IFERROR(U24/U$6,"na")</f>
        <v>0.54977753155864606</v>
      </c>
      <c r="V12" s="48">
        <f t="shared" si="12"/>
        <v>0.54994529016606797</v>
      </c>
      <c r="W12" s="48">
        <f>IFERROR(W24/W$6,"na")</f>
        <v>0.55550360048629954</v>
      </c>
      <c r="X12" s="48">
        <f t="shared" ref="X12:AU12" si="13">IFERROR(X24/X$6,"na")</f>
        <v>0.55550360048629943</v>
      </c>
      <c r="Y12" s="48">
        <f t="shared" si="13"/>
        <v>0.55550360048629954</v>
      </c>
      <c r="Z12" s="48">
        <f t="shared" si="13"/>
        <v>0.55497898161115422</v>
      </c>
      <c r="AA12" s="48">
        <f t="shared" si="13"/>
        <v>0.55537453271183435</v>
      </c>
      <c r="AB12" s="48">
        <f t="shared" si="13"/>
        <v>0.55886946540466287</v>
      </c>
      <c r="AC12" s="48">
        <f t="shared" si="13"/>
        <v>0.55886946540466287</v>
      </c>
      <c r="AD12" s="48">
        <f t="shared" si="13"/>
        <v>0.55886946540466298</v>
      </c>
      <c r="AE12" s="48">
        <f t="shared" si="13"/>
        <v>0.55797793860118139</v>
      </c>
      <c r="AF12" s="48">
        <f t="shared" si="13"/>
        <v>0.55865002243010986</v>
      </c>
      <c r="AG12" s="48">
        <f t="shared" si="13"/>
        <v>0.56441748292895311</v>
      </c>
      <c r="AH12" s="48">
        <f t="shared" si="13"/>
        <v>0.56441748292895288</v>
      </c>
      <c r="AI12" s="48">
        <f t="shared" si="13"/>
        <v>0.56441748292895311</v>
      </c>
      <c r="AJ12" s="48">
        <f t="shared" si="13"/>
        <v>0.56336802308184741</v>
      </c>
      <c r="AK12" s="48">
        <f t="shared" si="13"/>
        <v>0.5641591143316198</v>
      </c>
      <c r="AL12" s="48">
        <f t="shared" si="13"/>
        <v>0.56992290257273792</v>
      </c>
      <c r="AM12" s="48">
        <f t="shared" si="13"/>
        <v>0.56992290257273792</v>
      </c>
      <c r="AN12" s="48">
        <f t="shared" si="13"/>
        <v>0.56992290257273781</v>
      </c>
      <c r="AO12" s="48">
        <f t="shared" si="13"/>
        <v>0.56871394209449533</v>
      </c>
      <c r="AP12" s="48">
        <f t="shared" si="13"/>
        <v>0.56962520731761634</v>
      </c>
      <c r="AQ12" s="48">
        <f t="shared" si="13"/>
        <v>0.57538422846348825</v>
      </c>
      <c r="AR12" s="48">
        <f t="shared" si="13"/>
        <v>0.57538422846348836</v>
      </c>
      <c r="AS12" s="48">
        <f t="shared" si="13"/>
        <v>0.57538422846348813</v>
      </c>
      <c r="AT12" s="48">
        <f t="shared" si="13"/>
        <v>0.57401431195265606</v>
      </c>
      <c r="AU12" s="48">
        <f t="shared" si="13"/>
        <v>0.57504683312372351</v>
      </c>
    </row>
    <row r="13" spans="1:47" s="21" customFormat="1" ht="13.2" x14ac:dyDescent="0.25">
      <c r="A13" s="21" t="s">
        <v>192</v>
      </c>
      <c r="B13" s="45" t="s">
        <v>145</v>
      </c>
      <c r="C13" s="47">
        <v>0.2</v>
      </c>
      <c r="D13" s="47">
        <v>0.2</v>
      </c>
      <c r="E13" s="47">
        <v>0.2</v>
      </c>
      <c r="F13" s="47">
        <v>0.19</v>
      </c>
      <c r="G13" s="48">
        <f>IFERROR(G26/G$6,"na")</f>
        <v>0.19768905567609346</v>
      </c>
      <c r="H13" s="47">
        <v>0.19</v>
      </c>
      <c r="I13" s="47">
        <v>0.19</v>
      </c>
      <c r="J13" s="47">
        <v>0.19</v>
      </c>
      <c r="K13" s="47">
        <v>0.19</v>
      </c>
      <c r="L13" s="48">
        <f>IFERROR(L26/L$6,"na")</f>
        <v>0.19</v>
      </c>
      <c r="M13" s="47">
        <v>0.19</v>
      </c>
      <c r="N13" s="47">
        <v>0.19</v>
      </c>
      <c r="O13" s="47">
        <v>0.19</v>
      </c>
      <c r="P13" s="47">
        <v>0.2</v>
      </c>
      <c r="Q13" s="48">
        <f>IFERROR(Q26/Q$6,"na")</f>
        <v>0.1924401347133235</v>
      </c>
      <c r="R13" s="47">
        <v>0.2</v>
      </c>
      <c r="S13" s="47">
        <v>0.2</v>
      </c>
      <c r="T13" s="47">
        <v>0.2</v>
      </c>
      <c r="U13" s="48">
        <f t="shared" ref="U13:V13" si="14">IFERROR(U26/U$6,"na")</f>
        <v>0.20681638104856001</v>
      </c>
      <c r="V13" s="48">
        <f t="shared" si="14"/>
        <v>0.20167629652509436</v>
      </c>
      <c r="W13" s="48">
        <f>IFERROR(W26/W$6,"na")</f>
        <v>0.19826054428130552</v>
      </c>
      <c r="X13" s="48">
        <f t="shared" ref="X13:AU13" si="15">IFERROR(X26/X$6,"na")</f>
        <v>0.19826054428130549</v>
      </c>
      <c r="Y13" s="48">
        <f t="shared" si="15"/>
        <v>0.19826054428130555</v>
      </c>
      <c r="Z13" s="48">
        <f t="shared" si="15"/>
        <v>0.20490690463332734</v>
      </c>
      <c r="AA13" s="48">
        <f t="shared" si="15"/>
        <v>0.19989569501562043</v>
      </c>
      <c r="AB13" s="48">
        <f t="shared" si="15"/>
        <v>0.19946182940368434</v>
      </c>
      <c r="AC13" s="48">
        <f t="shared" si="15"/>
        <v>0.19946182940368437</v>
      </c>
      <c r="AD13" s="48">
        <f t="shared" si="15"/>
        <v>0.19946182940368443</v>
      </c>
      <c r="AE13" s="48">
        <f t="shared" si="15"/>
        <v>0.20601416637533237</v>
      </c>
      <c r="AF13" s="48">
        <f t="shared" si="15"/>
        <v>0.20107464049328591</v>
      </c>
      <c r="AG13" s="48">
        <f t="shared" si="15"/>
        <v>0.19584632076939909</v>
      </c>
      <c r="AH13" s="48">
        <f t="shared" si="15"/>
        <v>0.19584632076939909</v>
      </c>
      <c r="AI13" s="48">
        <f t="shared" si="15"/>
        <v>0.19584632076939912</v>
      </c>
      <c r="AJ13" s="48">
        <f t="shared" si="15"/>
        <v>0.20222637333734875</v>
      </c>
      <c r="AK13" s="48">
        <f t="shared" si="15"/>
        <v>0.19741703854144144</v>
      </c>
      <c r="AL13" s="48">
        <f t="shared" si="15"/>
        <v>0.19226339760534877</v>
      </c>
      <c r="AM13" s="48">
        <f t="shared" si="15"/>
        <v>0.19226339760534877</v>
      </c>
      <c r="AN13" s="48">
        <f t="shared" si="15"/>
        <v>0.19226339760534875</v>
      </c>
      <c r="AO13" s="48">
        <f t="shared" si="15"/>
        <v>0.19847463845635524</v>
      </c>
      <c r="AP13" s="48">
        <f t="shared" si="15"/>
        <v>0.19379285780114477</v>
      </c>
      <c r="AQ13" s="48">
        <f t="shared" si="15"/>
        <v>0.18871394791460544</v>
      </c>
      <c r="AR13" s="48">
        <f t="shared" si="15"/>
        <v>0.18871394791460544</v>
      </c>
      <c r="AS13" s="48">
        <f t="shared" si="15"/>
        <v>0.18871394791460541</v>
      </c>
      <c r="AT13" s="48">
        <f t="shared" si="15"/>
        <v>0.19475983984975059</v>
      </c>
      <c r="AU13" s="48">
        <f t="shared" si="15"/>
        <v>0.19020298447085537</v>
      </c>
    </row>
    <row r="14" spans="1:47" s="21" customFormat="1" ht="13.2" x14ac:dyDescent="0.25">
      <c r="A14" s="21" t="s">
        <v>193</v>
      </c>
      <c r="B14" s="45" t="s">
        <v>145</v>
      </c>
      <c r="C14" s="47">
        <v>0.12</v>
      </c>
      <c r="D14" s="47">
        <v>0.12</v>
      </c>
      <c r="E14" s="47">
        <v>0.12</v>
      </c>
      <c r="F14" s="47">
        <v>0.12</v>
      </c>
      <c r="G14" s="48">
        <f>IFERROR(G28/G$6,"na")</f>
        <v>0.12000000000000001</v>
      </c>
      <c r="H14" s="47">
        <v>0.11</v>
      </c>
      <c r="I14" s="47">
        <v>0.11</v>
      </c>
      <c r="J14" s="47">
        <v>0.11</v>
      </c>
      <c r="K14" s="47">
        <v>0.11</v>
      </c>
      <c r="L14" s="48">
        <f>IFERROR(L28/L$6,"na")</f>
        <v>0.11</v>
      </c>
      <c r="M14" s="47">
        <v>0.1</v>
      </c>
      <c r="N14" s="47">
        <v>0.1</v>
      </c>
      <c r="O14" s="47">
        <v>0.1</v>
      </c>
      <c r="P14" s="47">
        <v>0.09</v>
      </c>
      <c r="Q14" s="48">
        <f>IFERROR(Q28/Q$6,"na")</f>
        <v>9.7559865286676539E-2</v>
      </c>
      <c r="R14" s="47">
        <v>0.09</v>
      </c>
      <c r="S14" s="47">
        <v>0.09</v>
      </c>
      <c r="T14" s="47">
        <v>0.09</v>
      </c>
      <c r="U14" s="48">
        <f t="shared" ref="U14:V14" si="16">IFERROR(U28/U$6,"na")</f>
        <v>7.9572602608433449E-2</v>
      </c>
      <c r="V14" s="48">
        <f t="shared" si="16"/>
        <v>8.7435675927044376E-2</v>
      </c>
      <c r="W14" s="48">
        <f>IFERROR(W28/W$6,"na")</f>
        <v>8.6692228560740658E-2</v>
      </c>
      <c r="X14" s="48">
        <f t="shared" ref="X14:AU14" si="17">IFERROR(X28/X$6,"na")</f>
        <v>8.6692228560740658E-2</v>
      </c>
      <c r="Y14" s="48">
        <f t="shared" si="17"/>
        <v>8.6692228560740658E-2</v>
      </c>
      <c r="Z14" s="48">
        <f t="shared" si="17"/>
        <v>7.6606669343776287E-2</v>
      </c>
      <c r="AA14" s="48">
        <f t="shared" si="17"/>
        <v>8.4210959311687789E-2</v>
      </c>
      <c r="AB14" s="48">
        <f t="shared" si="17"/>
        <v>8.4045961753279705E-2</v>
      </c>
      <c r="AC14" s="48">
        <f t="shared" si="17"/>
        <v>8.4045961753279733E-2</v>
      </c>
      <c r="AD14" s="48">
        <f t="shared" si="17"/>
        <v>8.4045961753279746E-2</v>
      </c>
      <c r="AE14" s="48">
        <f t="shared" si="17"/>
        <v>7.4219880934814894E-2</v>
      </c>
      <c r="AF14" s="48">
        <f t="shared" si="17"/>
        <v>8.1627341926504296E-2</v>
      </c>
      <c r="AG14" s="48">
        <f t="shared" si="17"/>
        <v>8.2522517887833158E-2</v>
      </c>
      <c r="AH14" s="48">
        <f t="shared" si="17"/>
        <v>8.2522517887833158E-2</v>
      </c>
      <c r="AI14" s="48">
        <f t="shared" si="17"/>
        <v>8.2522517887833172E-2</v>
      </c>
      <c r="AJ14" s="48">
        <f t="shared" si="17"/>
        <v>7.285526823253749E-2</v>
      </c>
      <c r="AK14" s="48">
        <f t="shared" si="17"/>
        <v>8.0142518557322476E-2</v>
      </c>
      <c r="AL14" s="48">
        <f t="shared" si="17"/>
        <v>8.1012804354617399E-2</v>
      </c>
      <c r="AM14" s="48">
        <f t="shared" si="17"/>
        <v>8.1012804354617413E-2</v>
      </c>
      <c r="AN14" s="48">
        <f t="shared" si="17"/>
        <v>8.1012804354617399E-2</v>
      </c>
      <c r="AO14" s="48">
        <f t="shared" si="17"/>
        <v>7.1503646054968312E-2</v>
      </c>
      <c r="AP14" s="48">
        <f t="shared" si="17"/>
        <v>7.8671262710409612E-2</v>
      </c>
      <c r="AQ14" s="48">
        <f t="shared" si="17"/>
        <v>7.9517195325835996E-2</v>
      </c>
      <c r="AR14" s="48">
        <f t="shared" si="17"/>
        <v>7.9517195325836024E-2</v>
      </c>
      <c r="AS14" s="48">
        <f t="shared" si="17"/>
        <v>7.9517195325835996E-2</v>
      </c>
      <c r="AT14" s="48">
        <f t="shared" si="17"/>
        <v>7.0165330757870237E-2</v>
      </c>
      <c r="AU14" s="48">
        <f t="shared" si="17"/>
        <v>7.7213934142841431E-2</v>
      </c>
    </row>
    <row r="15" spans="1:47" s="9" customFormat="1" ht="13.2" x14ac:dyDescent="0.25"/>
    <row r="16" spans="1:47" s="45" customFormat="1" ht="13.2" x14ac:dyDescent="0.25">
      <c r="A16" s="45" t="s">
        <v>195</v>
      </c>
      <c r="B16" s="45" t="s">
        <v>145</v>
      </c>
      <c r="C16" s="46">
        <f t="shared" ref="C16:T16" si="18">SUM(C17:C19)</f>
        <v>0.18</v>
      </c>
      <c r="D16" s="46">
        <f t="shared" si="18"/>
        <v>0.18</v>
      </c>
      <c r="E16" s="46">
        <f t="shared" si="18"/>
        <v>0.18</v>
      </c>
      <c r="F16" s="46">
        <f t="shared" si="18"/>
        <v>0.16</v>
      </c>
      <c r="G16" s="46">
        <f t="shared" si="18"/>
        <v>0.17537811135218692</v>
      </c>
      <c r="H16" s="46">
        <f t="shared" si="18"/>
        <v>0.15999999999999998</v>
      </c>
      <c r="I16" s="46">
        <f t="shared" si="18"/>
        <v>0.15999999999999998</v>
      </c>
      <c r="J16" s="46">
        <f t="shared" si="18"/>
        <v>0.15999999999999998</v>
      </c>
      <c r="K16" s="46">
        <f t="shared" si="18"/>
        <v>0.15999999999999998</v>
      </c>
      <c r="L16" s="46">
        <f t="shared" si="18"/>
        <v>0.15999999999999998</v>
      </c>
      <c r="M16" s="46">
        <f t="shared" si="18"/>
        <v>0.15000000000000002</v>
      </c>
      <c r="N16" s="46">
        <f t="shared" si="18"/>
        <v>0.15000000000000002</v>
      </c>
      <c r="O16" s="46">
        <f t="shared" si="18"/>
        <v>0.15000000000000002</v>
      </c>
      <c r="P16" s="46">
        <f t="shared" si="18"/>
        <v>0.15</v>
      </c>
      <c r="Q16" s="46">
        <f t="shared" si="18"/>
        <v>0.15000000000000002</v>
      </c>
      <c r="R16" s="46">
        <f t="shared" si="18"/>
        <v>0.15</v>
      </c>
      <c r="S16" s="46">
        <f t="shared" si="18"/>
        <v>0.15</v>
      </c>
      <c r="T16" s="46">
        <f t="shared" si="18"/>
        <v>0.15</v>
      </c>
      <c r="U16" s="46">
        <f t="shared" ref="U16:V16" si="19">SUM(U17:U19)</f>
        <v>0.1540097066845538</v>
      </c>
      <c r="V16" s="46">
        <f t="shared" si="19"/>
        <v>0.15098607418424551</v>
      </c>
      <c r="W16" s="46">
        <f>SUM(W17:W19)</f>
        <v>0.14944356120826707</v>
      </c>
      <c r="X16" s="46">
        <f t="shared" ref="X16:AU16" si="20">SUM(X17:X19)</f>
        <v>0.14944356120826705</v>
      </c>
      <c r="Y16" s="46">
        <f t="shared" si="20"/>
        <v>0.14944356120826707</v>
      </c>
      <c r="Z16" s="46">
        <f t="shared" si="20"/>
        <v>0.15359072346109154</v>
      </c>
      <c r="AA16" s="46">
        <f t="shared" si="20"/>
        <v>0.15046385427753561</v>
      </c>
      <c r="AB16" s="46">
        <f t="shared" si="20"/>
        <v>0.14764623066751281</v>
      </c>
      <c r="AC16" s="46">
        <f t="shared" si="20"/>
        <v>0.14764623066751284</v>
      </c>
      <c r="AD16" s="46">
        <f t="shared" si="20"/>
        <v>0.14764623066751287</v>
      </c>
      <c r="AE16" s="46">
        <f t="shared" si="20"/>
        <v>0.1519989841797014</v>
      </c>
      <c r="AF16" s="46">
        <f t="shared" si="20"/>
        <v>0.14871762995072069</v>
      </c>
      <c r="AG16" s="46">
        <f t="shared" si="20"/>
        <v>0.14713812665243833</v>
      </c>
      <c r="AH16" s="46">
        <f t="shared" si="20"/>
        <v>0.14713812665243828</v>
      </c>
      <c r="AI16" s="46">
        <f t="shared" si="20"/>
        <v>0.14713812665243833</v>
      </c>
      <c r="AJ16" s="46">
        <f t="shared" si="20"/>
        <v>0.15166674310171491</v>
      </c>
      <c r="AK16" s="46">
        <f t="shared" si="20"/>
        <v>0.14825303570120935</v>
      </c>
      <c r="AL16" s="46">
        <f t="shared" si="20"/>
        <v>0.14662706514037765</v>
      </c>
      <c r="AM16" s="46">
        <f t="shared" si="20"/>
        <v>0.14662706514037763</v>
      </c>
      <c r="AN16" s="46">
        <f t="shared" si="20"/>
        <v>0.14662706514037763</v>
      </c>
      <c r="AO16" s="46">
        <f t="shared" si="20"/>
        <v>0.15133039363832956</v>
      </c>
      <c r="AP16" s="46">
        <f t="shared" si="20"/>
        <v>0.14778521596690769</v>
      </c>
      <c r="AQ16" s="46">
        <f t="shared" si="20"/>
        <v>0.14611330653176352</v>
      </c>
      <c r="AR16" s="46">
        <f t="shared" si="20"/>
        <v>0.14611330653176349</v>
      </c>
      <c r="AS16" s="46">
        <f t="shared" si="20"/>
        <v>0.14611330653176352</v>
      </c>
      <c r="AT16" s="46">
        <f t="shared" si="20"/>
        <v>0.15099014927791377</v>
      </c>
      <c r="AU16" s="46">
        <f t="shared" si="20"/>
        <v>0.1473144191560046</v>
      </c>
    </row>
    <row r="17" spans="1:47" s="21" customFormat="1" ht="13.2" x14ac:dyDescent="0.25">
      <c r="A17" s="21" t="s">
        <v>196</v>
      </c>
      <c r="B17" s="45" t="s">
        <v>145</v>
      </c>
      <c r="C17" s="47">
        <v>0.06</v>
      </c>
      <c r="D17" s="47">
        <v>0.06</v>
      </c>
      <c r="E17" s="47">
        <v>0.06</v>
      </c>
      <c r="F17" s="47">
        <v>0.06</v>
      </c>
      <c r="G17" s="48">
        <f>IFERROR(G32/G$6,"na")</f>
        <v>6.0000000000000005E-2</v>
      </c>
      <c r="H17" s="47">
        <v>0.06</v>
      </c>
      <c r="I17" s="47">
        <v>0.06</v>
      </c>
      <c r="J17" s="47">
        <v>0.06</v>
      </c>
      <c r="K17" s="47">
        <v>0.06</v>
      </c>
      <c r="L17" s="48">
        <f>IFERROR(L32/L$6,"na")</f>
        <v>0.06</v>
      </c>
      <c r="M17" s="47">
        <v>0.05</v>
      </c>
      <c r="N17" s="47">
        <v>0.05</v>
      </c>
      <c r="O17" s="47">
        <v>0.05</v>
      </c>
      <c r="P17" s="47">
        <v>0.06</v>
      </c>
      <c r="Q17" s="48">
        <f>IFERROR(Q32/Q$6,"na")</f>
        <v>5.2440134713323483E-2</v>
      </c>
      <c r="R17" s="47">
        <v>0.06</v>
      </c>
      <c r="S17" s="47">
        <v>0.06</v>
      </c>
      <c r="T17" s="47">
        <v>0.06</v>
      </c>
      <c r="U17" s="48">
        <f t="shared" ref="U17:V17" si="21">IFERROR(U32/U$6,"na")</f>
        <v>7.0731202318607495E-2</v>
      </c>
      <c r="V17" s="48">
        <f t="shared" si="21"/>
        <v>6.2639036319802929E-2</v>
      </c>
      <c r="W17" s="48">
        <f>IFERROR(W32/W$6,"na")</f>
        <v>6.0600392780323566E-2</v>
      </c>
      <c r="X17" s="48">
        <f t="shared" ref="X17:AU17" si="22">IFERROR(X32/X$6,"na")</f>
        <v>6.0600392780323559E-2</v>
      </c>
      <c r="Y17" s="48">
        <f t="shared" si="22"/>
        <v>6.0600392780323573E-2</v>
      </c>
      <c r="Z17" s="48">
        <f t="shared" si="22"/>
        <v>7.1400390844684677E-2</v>
      </c>
      <c r="AA17" s="48">
        <f t="shared" si="22"/>
        <v>6.3257429689278971E-2</v>
      </c>
      <c r="AB17" s="48">
        <f t="shared" si="22"/>
        <v>6.0967578044145022E-2</v>
      </c>
      <c r="AC17" s="48">
        <f t="shared" si="22"/>
        <v>6.0967578044145022E-2</v>
      </c>
      <c r="AD17" s="48">
        <f t="shared" si="22"/>
        <v>6.0967578044145043E-2</v>
      </c>
      <c r="AE17" s="48">
        <f t="shared" si="22"/>
        <v>7.1786219332445986E-2</v>
      </c>
      <c r="AF17" s="48">
        <f t="shared" si="22"/>
        <v>6.3630509563035592E-2</v>
      </c>
      <c r="AG17" s="48">
        <f t="shared" si="22"/>
        <v>6.157281631952214E-2</v>
      </c>
      <c r="AH17" s="48">
        <f t="shared" si="22"/>
        <v>6.157281631952212E-2</v>
      </c>
      <c r="AI17" s="48">
        <f t="shared" si="22"/>
        <v>6.157281631952214E-2</v>
      </c>
      <c r="AJ17" s="48">
        <f t="shared" si="22"/>
        <v>7.247967647471136E-2</v>
      </c>
      <c r="AK17" s="48">
        <f t="shared" si="22"/>
        <v>6.4257997813009698E-2</v>
      </c>
      <c r="AL17" s="48">
        <f t="shared" si="22"/>
        <v>6.2173407553389584E-2</v>
      </c>
      <c r="AM17" s="48">
        <f t="shared" si="22"/>
        <v>6.2173407553389577E-2</v>
      </c>
      <c r="AN17" s="48">
        <f t="shared" si="22"/>
        <v>6.2173407553389577E-2</v>
      </c>
      <c r="AO17" s="48">
        <f t="shared" si="22"/>
        <v>7.3167451542911197E-2</v>
      </c>
      <c r="AP17" s="48">
        <f t="shared" si="22"/>
        <v>6.4880588465570557E-2</v>
      </c>
      <c r="AQ17" s="48">
        <f t="shared" si="22"/>
        <v>6.2769188559653258E-2</v>
      </c>
      <c r="AR17" s="48">
        <f t="shared" si="22"/>
        <v>6.2769188559653244E-2</v>
      </c>
      <c r="AS17" s="48">
        <f t="shared" si="22"/>
        <v>6.2769188559653258E-2</v>
      </c>
      <c r="AT17" s="48">
        <f t="shared" si="22"/>
        <v>7.3849366519935011E-2</v>
      </c>
      <c r="AU17" s="48">
        <f t="shared" si="22"/>
        <v>6.5498114284690809E-2</v>
      </c>
    </row>
    <row r="18" spans="1:47" s="21" customFormat="1" ht="13.2" x14ac:dyDescent="0.25">
      <c r="A18" s="21" t="s">
        <v>197</v>
      </c>
      <c r="B18" s="45" t="s">
        <v>145</v>
      </c>
      <c r="C18" s="47">
        <v>0.06</v>
      </c>
      <c r="D18" s="47">
        <v>0.06</v>
      </c>
      <c r="E18" s="47">
        <v>0.06</v>
      </c>
      <c r="F18" s="47">
        <v>0.05</v>
      </c>
      <c r="G18" s="48">
        <f>IFERROR(G34/G$6,"na")</f>
        <v>5.7689055676093455E-2</v>
      </c>
      <c r="H18" s="47">
        <f>11%-H19-H21</f>
        <v>4.9999999999999996E-2</v>
      </c>
      <c r="I18" s="47">
        <f t="shared" ref="I18:K18" si="23">11%-I19-I21</f>
        <v>4.9999999999999996E-2</v>
      </c>
      <c r="J18" s="47">
        <f t="shared" si="23"/>
        <v>4.9999999999999996E-2</v>
      </c>
      <c r="K18" s="47">
        <f t="shared" si="23"/>
        <v>4.9999999999999996E-2</v>
      </c>
      <c r="L18" s="48">
        <f>IFERROR(L34/L$6,"na")</f>
        <v>4.9999999999999996E-2</v>
      </c>
      <c r="M18" s="47">
        <v>0.05</v>
      </c>
      <c r="N18" s="47">
        <v>0.05</v>
      </c>
      <c r="O18" s="47">
        <v>0.05</v>
      </c>
      <c r="P18" s="47">
        <v>0.05</v>
      </c>
      <c r="Q18" s="48">
        <f>IFERROR(Q34/Q$6,"na")</f>
        <v>5.000000000000001E-2</v>
      </c>
      <c r="R18" s="47">
        <v>0.05</v>
      </c>
      <c r="S18" s="47">
        <v>0.05</v>
      </c>
      <c r="T18" s="47">
        <v>0.05</v>
      </c>
      <c r="U18" s="48">
        <f t="shared" ref="U18:V18" si="24">IFERROR(U34/U$6,"na")</f>
        <v>4.9118890499032994E-2</v>
      </c>
      <c r="V18" s="48">
        <f t="shared" si="24"/>
        <v>4.9783315987739475E-2</v>
      </c>
      <c r="W18" s="48">
        <f>IFERROR(W34/W$6,"na")</f>
        <v>4.9565136070326379E-2</v>
      </c>
      <c r="X18" s="48">
        <f t="shared" ref="X18:AU18" si="25">IFERROR(X34/X$6,"na")</f>
        <v>4.9565136070326372E-2</v>
      </c>
      <c r="Y18" s="48">
        <f t="shared" si="25"/>
        <v>4.9565136070326386E-2</v>
      </c>
      <c r="Z18" s="48">
        <f t="shared" si="25"/>
        <v>4.8665389850415235E-2</v>
      </c>
      <c r="AA18" s="48">
        <f t="shared" si="25"/>
        <v>4.9343778723709257E-2</v>
      </c>
      <c r="AB18" s="48">
        <f t="shared" si="25"/>
        <v>4.8958812671813436E-2</v>
      </c>
      <c r="AC18" s="48">
        <f t="shared" si="25"/>
        <v>4.8958812671813436E-2</v>
      </c>
      <c r="AD18" s="48">
        <f t="shared" si="25"/>
        <v>4.8958812671813456E-2</v>
      </c>
      <c r="AE18" s="48">
        <f t="shared" si="25"/>
        <v>4.8038757886611584E-2</v>
      </c>
      <c r="AF18" s="48">
        <f t="shared" si="25"/>
        <v>4.87323477376937E-2</v>
      </c>
      <c r="AG18" s="48">
        <f t="shared" si="25"/>
        <v>4.852919221143033E-2</v>
      </c>
      <c r="AH18" s="48">
        <f t="shared" si="25"/>
        <v>4.8529192211430316E-2</v>
      </c>
      <c r="AI18" s="48">
        <f t="shared" si="25"/>
        <v>4.8529192211430337E-2</v>
      </c>
      <c r="AJ18" s="48">
        <f t="shared" si="25"/>
        <v>4.7604613546919257E-2</v>
      </c>
      <c r="AK18" s="48">
        <f t="shared" si="25"/>
        <v>4.8301568359662372E-2</v>
      </c>
      <c r="AL18" s="48">
        <f t="shared" si="25"/>
        <v>4.8095099120453413E-2</v>
      </c>
      <c r="AM18" s="48">
        <f t="shared" si="25"/>
        <v>4.8095099120453406E-2</v>
      </c>
      <c r="AN18" s="48">
        <f t="shared" si="25"/>
        <v>4.8095099120453406E-2</v>
      </c>
      <c r="AO18" s="48">
        <f t="shared" si="25"/>
        <v>4.7166411557940484E-2</v>
      </c>
      <c r="AP18" s="48">
        <f t="shared" si="25"/>
        <v>4.7866418459814701E-2</v>
      </c>
      <c r="AQ18" s="48">
        <f t="shared" si="25"/>
        <v>4.7656789056869694E-2</v>
      </c>
      <c r="AR18" s="48">
        <f t="shared" si="25"/>
        <v>4.7656789056869694E-2</v>
      </c>
      <c r="AS18" s="48">
        <f t="shared" si="25"/>
        <v>4.7656789056869694E-2</v>
      </c>
      <c r="AT18" s="48">
        <f t="shared" si="25"/>
        <v>4.672440628625836E-2</v>
      </c>
      <c r="AU18" s="48">
        <f t="shared" si="25"/>
        <v>4.7427153455580282E-2</v>
      </c>
    </row>
    <row r="19" spans="1:47" s="21" customFormat="1" ht="13.2" x14ac:dyDescent="0.25">
      <c r="A19" s="21" t="s">
        <v>198</v>
      </c>
      <c r="B19" s="45" t="s">
        <v>145</v>
      </c>
      <c r="C19" s="47">
        <v>0.06</v>
      </c>
      <c r="D19" s="47">
        <v>0.06</v>
      </c>
      <c r="E19" s="47">
        <v>0.06</v>
      </c>
      <c r="F19" s="47">
        <v>0.05</v>
      </c>
      <c r="G19" s="48">
        <f>IFERROR(G36/G$6,"na")</f>
        <v>5.7689055676093455E-2</v>
      </c>
      <c r="H19" s="49">
        <v>0.05</v>
      </c>
      <c r="I19" s="49">
        <v>0.05</v>
      </c>
      <c r="J19" s="49">
        <v>0.05</v>
      </c>
      <c r="K19" s="49">
        <v>0.05</v>
      </c>
      <c r="L19" s="48">
        <f>IFERROR(L36/L$6,"na")</f>
        <v>4.9999999999999996E-2</v>
      </c>
      <c r="M19" s="47">
        <v>0.05</v>
      </c>
      <c r="N19" s="47">
        <v>0.05</v>
      </c>
      <c r="O19" s="47">
        <v>0.05</v>
      </c>
      <c r="P19" s="47">
        <v>0.04</v>
      </c>
      <c r="Q19" s="48">
        <f>IFERROR(Q36/Q$6,"na")</f>
        <v>4.7559865286676523E-2</v>
      </c>
      <c r="R19" s="47">
        <v>0.04</v>
      </c>
      <c r="S19" s="47">
        <v>0.04</v>
      </c>
      <c r="T19" s="47">
        <v>0.04</v>
      </c>
      <c r="U19" s="48">
        <f t="shared" ref="U19:V19" si="26">IFERROR(U36/U$6,"na")</f>
        <v>3.4159613866913317E-2</v>
      </c>
      <c r="V19" s="48">
        <f t="shared" si="26"/>
        <v>3.8563721876703087E-2</v>
      </c>
      <c r="W19" s="48">
        <f>IFERROR(W36/W$6,"na")</f>
        <v>3.9278032357617128E-2</v>
      </c>
      <c r="X19" s="48">
        <f t="shared" ref="X19:AU19" si="27">IFERROR(X36/X$6,"na")</f>
        <v>3.9278032357617128E-2</v>
      </c>
      <c r="Y19" s="48">
        <f t="shared" si="27"/>
        <v>3.9278032357617135E-2</v>
      </c>
      <c r="Z19" s="48">
        <f t="shared" si="27"/>
        <v>3.3524942765991626E-2</v>
      </c>
      <c r="AA19" s="48">
        <f t="shared" si="27"/>
        <v>3.7862645864547385E-2</v>
      </c>
      <c r="AB19" s="48">
        <f t="shared" si="27"/>
        <v>3.7719839951554368E-2</v>
      </c>
      <c r="AC19" s="48">
        <f t="shared" si="27"/>
        <v>3.7719839951554375E-2</v>
      </c>
      <c r="AD19" s="48">
        <f t="shared" si="27"/>
        <v>3.7719839951554382E-2</v>
      </c>
      <c r="AE19" s="48">
        <f t="shared" si="27"/>
        <v>3.2174006960643819E-2</v>
      </c>
      <c r="AF19" s="48">
        <f t="shared" si="27"/>
        <v>3.6354772649991388E-2</v>
      </c>
      <c r="AG19" s="48">
        <f t="shared" si="27"/>
        <v>3.7036118121485856E-2</v>
      </c>
      <c r="AH19" s="48">
        <f t="shared" si="27"/>
        <v>3.7036118121485849E-2</v>
      </c>
      <c r="AI19" s="48">
        <f t="shared" si="27"/>
        <v>3.7036118121485856E-2</v>
      </c>
      <c r="AJ19" s="48">
        <f t="shared" si="27"/>
        <v>3.158245308008429E-2</v>
      </c>
      <c r="AK19" s="48">
        <f t="shared" si="27"/>
        <v>3.5693469528537289E-2</v>
      </c>
      <c r="AL19" s="48">
        <f t="shared" si="27"/>
        <v>3.635855846653465E-2</v>
      </c>
      <c r="AM19" s="48">
        <f t="shared" si="27"/>
        <v>3.635855846653465E-2</v>
      </c>
      <c r="AN19" s="48">
        <f t="shared" si="27"/>
        <v>3.6358558466534643E-2</v>
      </c>
      <c r="AO19" s="48">
        <f t="shared" si="27"/>
        <v>3.0996530537477883E-2</v>
      </c>
      <c r="AP19" s="48">
        <f t="shared" si="27"/>
        <v>3.5038209041522453E-2</v>
      </c>
      <c r="AQ19" s="48">
        <f t="shared" si="27"/>
        <v>3.5687328915240561E-2</v>
      </c>
      <c r="AR19" s="48">
        <f t="shared" si="27"/>
        <v>3.5687328915240561E-2</v>
      </c>
      <c r="AS19" s="48">
        <f t="shared" si="27"/>
        <v>3.5687328915240554E-2</v>
      </c>
      <c r="AT19" s="48">
        <f t="shared" si="27"/>
        <v>3.0416376471720397E-2</v>
      </c>
      <c r="AU19" s="48">
        <f t="shared" si="27"/>
        <v>3.4389151415733503E-2</v>
      </c>
    </row>
    <row r="20" spans="1:47" s="9" customFormat="1" ht="13.2" x14ac:dyDescent="0.25"/>
    <row r="21" spans="1:47" s="45" customFormat="1" ht="13.2" x14ac:dyDescent="0.25">
      <c r="A21" s="45" t="s">
        <v>199</v>
      </c>
      <c r="B21" s="45" t="s">
        <v>145</v>
      </c>
      <c r="C21" s="50">
        <v>0</v>
      </c>
      <c r="D21" s="50">
        <v>0</v>
      </c>
      <c r="E21" s="50">
        <v>0</v>
      </c>
      <c r="F21" s="50">
        <v>0</v>
      </c>
      <c r="G21" s="48">
        <f>IFERROR(G39/G$6,"na")</f>
        <v>0</v>
      </c>
      <c r="H21" s="49">
        <v>0.01</v>
      </c>
      <c r="I21" s="49">
        <v>0.01</v>
      </c>
      <c r="J21" s="49">
        <v>0.01</v>
      </c>
      <c r="K21" s="49">
        <v>0.01</v>
      </c>
      <c r="L21" s="48">
        <f>IFERROR(L39/L$6,"na")</f>
        <v>9.9999999999999985E-3</v>
      </c>
      <c r="M21" s="50">
        <v>0.01</v>
      </c>
      <c r="N21" s="50">
        <v>0.01</v>
      </c>
      <c r="O21" s="50">
        <v>0.01</v>
      </c>
      <c r="P21" s="50">
        <v>0.01</v>
      </c>
      <c r="Q21" s="48">
        <f>IFERROR(Q39/Q$6,"na")</f>
        <v>0.01</v>
      </c>
      <c r="R21" s="50">
        <v>0.01</v>
      </c>
      <c r="S21" s="50">
        <v>0.01</v>
      </c>
      <c r="T21" s="50">
        <v>0.01</v>
      </c>
      <c r="U21" s="48">
        <f t="shared" ref="U21:V21" si="28">IFERROR(U39/U$6,"na")</f>
        <v>9.8237780998065988E-3</v>
      </c>
      <c r="V21" s="48">
        <f t="shared" si="28"/>
        <v>9.956663197547894E-3</v>
      </c>
      <c r="W21" s="48">
        <f>IFERROR(W39/W$6,"na")</f>
        <v>1.0100065463387261E-2</v>
      </c>
      <c r="X21" s="48">
        <f t="shared" ref="X21:AU21" si="29">IFERROR(X39/X$6,"na")</f>
        <v>1.0100065463387263E-2</v>
      </c>
      <c r="Y21" s="48">
        <f t="shared" si="29"/>
        <v>1.0100065463387263E-2</v>
      </c>
      <c r="Z21" s="48">
        <f t="shared" si="29"/>
        <v>9.9167209506506523E-3</v>
      </c>
      <c r="AA21" s="48">
        <f t="shared" si="29"/>
        <v>1.0054958683321888E-2</v>
      </c>
      <c r="AB21" s="48">
        <f t="shared" si="29"/>
        <v>9.9765127708600944E-3</v>
      </c>
      <c r="AC21" s="48">
        <f t="shared" si="29"/>
        <v>9.9765127708600979E-3</v>
      </c>
      <c r="AD21" s="48">
        <f t="shared" si="29"/>
        <v>9.9765127708600979E-3</v>
      </c>
      <c r="AE21" s="48">
        <f t="shared" si="29"/>
        <v>9.7890299089699075E-3</v>
      </c>
      <c r="AF21" s="48">
        <f t="shared" si="29"/>
        <v>9.9303651993790931E-3</v>
      </c>
      <c r="AG21" s="48">
        <f t="shared" si="29"/>
        <v>1.0075551761376349E-2</v>
      </c>
      <c r="AH21" s="48">
        <f t="shared" si="29"/>
        <v>1.0075551761376349E-2</v>
      </c>
      <c r="AI21" s="48">
        <f t="shared" si="29"/>
        <v>1.0075551761376351E-2</v>
      </c>
      <c r="AJ21" s="48">
        <f t="shared" si="29"/>
        <v>9.8835922465515501E-3</v>
      </c>
      <c r="AK21" s="48">
        <f t="shared" si="29"/>
        <v>1.002829286840694E-2</v>
      </c>
      <c r="AL21" s="48">
        <f t="shared" si="29"/>
        <v>1.0173830326918295E-2</v>
      </c>
      <c r="AM21" s="48">
        <f t="shared" si="29"/>
        <v>1.0173830326918296E-2</v>
      </c>
      <c r="AN21" s="48">
        <f t="shared" si="29"/>
        <v>1.0173830326918295E-2</v>
      </c>
      <c r="AO21" s="48">
        <f t="shared" si="29"/>
        <v>9.9773797558515304E-3</v>
      </c>
      <c r="AP21" s="48">
        <f t="shared" si="29"/>
        <v>1.0125456203921709E-2</v>
      </c>
      <c r="AQ21" s="48">
        <f t="shared" si="29"/>
        <v>1.0271321764306895E-2</v>
      </c>
      <c r="AR21" s="48">
        <f t="shared" si="29"/>
        <v>1.0271321764306897E-2</v>
      </c>
      <c r="AS21" s="48">
        <f t="shared" si="29"/>
        <v>1.0271321764306895E-2</v>
      </c>
      <c r="AT21" s="48">
        <f t="shared" si="29"/>
        <v>1.0070368161809321E-2</v>
      </c>
      <c r="AU21" s="48">
        <f t="shared" si="29"/>
        <v>1.022182910657519E-2</v>
      </c>
    </row>
    <row r="22" spans="1:47" s="9" customFormat="1" ht="13.2" x14ac:dyDescent="0.25"/>
    <row r="23" spans="1:47" s="8" customFormat="1" ht="13.2" x14ac:dyDescent="0.25">
      <c r="A23" s="8" t="s">
        <v>204</v>
      </c>
      <c r="B23" s="8" t="s">
        <v>146</v>
      </c>
      <c r="C23" s="20">
        <f>C24+C26+C28</f>
        <v>12049.572000000002</v>
      </c>
      <c r="D23" s="20">
        <f t="shared" ref="D23" si="30">D24+D26+D28</f>
        <v>10824.492</v>
      </c>
      <c r="E23" s="20">
        <f t="shared" ref="E23" si="31">E24+E26+E28</f>
        <v>10980.456000000002</v>
      </c>
      <c r="F23" s="20">
        <f t="shared" ref="F23" si="32">F24+F26+F28</f>
        <v>10423.140000000001</v>
      </c>
      <c r="G23" s="20">
        <f t="shared" ref="G23" si="33">G24+G26+G28</f>
        <v>44277.66</v>
      </c>
      <c r="H23" s="20">
        <f>H24+H26+H28</f>
        <v>13025.771000000001</v>
      </c>
      <c r="I23" s="20">
        <f t="shared" ref="I23" si="34">I24+I26+I28</f>
        <v>11766.744000000001</v>
      </c>
      <c r="J23" s="20">
        <f t="shared" ref="J23" si="35">J24+J26+J28</f>
        <v>11075.105</v>
      </c>
      <c r="K23" s="20">
        <f t="shared" ref="K23" si="36">K24+K26+K28</f>
        <v>10751.737000000001</v>
      </c>
      <c r="L23" s="20">
        <f t="shared" ref="L23" si="37">L24+L26+L28</f>
        <v>46619.356999999996</v>
      </c>
      <c r="M23" s="20">
        <f>M24+M26+M28</f>
        <v>12842.928000000002</v>
      </c>
      <c r="N23" s="20">
        <f t="shared" ref="N23:Q23" si="38">N24+N26+N28</f>
        <v>12850.908000000003</v>
      </c>
      <c r="O23" s="20">
        <f t="shared" si="38"/>
        <v>12960.36</v>
      </c>
      <c r="P23" s="20">
        <f t="shared" si="38"/>
        <v>12476.604000000001</v>
      </c>
      <c r="Q23" s="20">
        <f t="shared" si="38"/>
        <v>51130.8</v>
      </c>
      <c r="R23" s="20">
        <f>R24+R26+R28</f>
        <v>15406.188000000002</v>
      </c>
      <c r="S23" s="20">
        <f>S24+S26+S28</f>
        <v>14762.496000000003</v>
      </c>
      <c r="T23" s="20">
        <f>T24+T26+T28</f>
        <v>15525.720000000001</v>
      </c>
      <c r="U23" s="20">
        <f>U24+U26+U28</f>
        <v>14833.959439761195</v>
      </c>
      <c r="V23" s="20">
        <f t="shared" ref="V23" si="39">V24+V26+V28</f>
        <v>60528.363439761204</v>
      </c>
      <c r="W23" s="20">
        <f>W24+W26+W28</f>
        <v>16482.787090000005</v>
      </c>
      <c r="X23" s="20">
        <f t="shared" ref="X23:AB23" si="40">X24+X26+X28</f>
        <v>15794.113280000003</v>
      </c>
      <c r="Y23" s="20">
        <f t="shared" si="40"/>
        <v>16610.672100000003</v>
      </c>
      <c r="Z23" s="20">
        <f t="shared" si="40"/>
        <v>15876.713297661407</v>
      </c>
      <c r="AA23" s="20">
        <f t="shared" si="40"/>
        <v>64764.285767661422</v>
      </c>
      <c r="AB23" s="20">
        <f t="shared" si="40"/>
        <v>18063.058483400007</v>
      </c>
      <c r="AC23" s="20">
        <f t="shared" ref="AC23" si="41">AC24+AC26+AC28</f>
        <v>17308.358732800007</v>
      </c>
      <c r="AD23" s="20">
        <f t="shared" ref="AD23" si="42">AD24+AD26+AD28</f>
        <v>18203.204346000002</v>
      </c>
      <c r="AE23" s="20">
        <f t="shared" ref="AE23" si="43">AE24+AE26+AE28</f>
        <v>17406.224534179401</v>
      </c>
      <c r="AF23" s="20">
        <f t="shared" ref="AF23:AG23" si="44">AF24+AF26+AF28</f>
        <v>70980.84609637942</v>
      </c>
      <c r="AG23" s="20">
        <f t="shared" si="44"/>
        <v>19325.725808970008</v>
      </c>
      <c r="AH23" s="20">
        <f t="shared" ref="AH23" si="45">AH24+AH26+AH28</f>
        <v>18518.27005824001</v>
      </c>
      <c r="AI23" s="20">
        <f t="shared" ref="AI23" si="46">AI24+AI26+AI28</f>
        <v>19475.668329300006</v>
      </c>
      <c r="AJ23" s="20">
        <f t="shared" ref="AJ23" si="47">AJ24+AJ26+AJ28</f>
        <v>18624.143148314997</v>
      </c>
      <c r="AK23" s="20">
        <f t="shared" ref="AK23:AL23" si="48">AK24+AK26+AK28</f>
        <v>75943.807344825022</v>
      </c>
      <c r="AL23" s="20">
        <f t="shared" si="48"/>
        <v>20680.287652930507</v>
      </c>
      <c r="AM23" s="20">
        <f t="shared" ref="AM23" si="49">AM24+AM26+AM28</f>
        <v>19816.236421056008</v>
      </c>
      <c r="AN23" s="20">
        <f t="shared" ref="AN23" si="50">AN24+AN26+AN28</f>
        <v>20840.739813045009</v>
      </c>
      <c r="AO23" s="20">
        <f t="shared" ref="AO23" si="51">AO24+AO26+AO28</f>
        <v>19930.766284151505</v>
      </c>
      <c r="AP23" s="20">
        <f t="shared" ref="AP23:AQ23" si="52">AP24+AP26+AP28</f>
        <v>81268.030171183025</v>
      </c>
      <c r="AQ23" s="20">
        <f t="shared" si="52"/>
        <v>22133.639633369992</v>
      </c>
      <c r="AR23" s="20">
        <f t="shared" ref="AR23" si="53">AR24+AR26+AR28</f>
        <v>21208.865330805129</v>
      </c>
      <c r="AS23" s="20">
        <f t="shared" ref="AS23" si="54">AS24+AS26+AS28</f>
        <v>22305.367916359661</v>
      </c>
      <c r="AT23" s="20">
        <f t="shared" ref="AT23" si="55">AT24+AT26+AT28</f>
        <v>21332.753855053499</v>
      </c>
      <c r="AU23" s="20">
        <f t="shared" ref="AU23" si="56">AU24+AU26+AU28</f>
        <v>86980.626735588288</v>
      </c>
    </row>
    <row r="24" spans="1:47" s="9" customFormat="1" ht="13.2" x14ac:dyDescent="0.25">
      <c r="A24" s="9" t="s">
        <v>191</v>
      </c>
      <c r="B24" s="9" t="s">
        <v>146</v>
      </c>
      <c r="C24" s="10">
        <f>C$6*C12</f>
        <v>7347.3</v>
      </c>
      <c r="D24" s="10">
        <f>D$6*D12</f>
        <v>6600.3</v>
      </c>
      <c r="E24" s="10">
        <f>E$6*E12</f>
        <v>6695.4000000000005</v>
      </c>
      <c r="F24" s="10">
        <f>F$6*F12</f>
        <v>6576.5050000000001</v>
      </c>
      <c r="G24" s="10">
        <f t="shared" ref="G24" si="57">C24+D24+E24+F24</f>
        <v>27219.505000000001</v>
      </c>
      <c r="H24" s="10">
        <f>H$6*H12</f>
        <v>8317.6610000000001</v>
      </c>
      <c r="I24" s="10">
        <f>I$6*I12</f>
        <v>7513.7040000000006</v>
      </c>
      <c r="J24" s="10">
        <f>J$6*J12</f>
        <v>7072.0549999999994</v>
      </c>
      <c r="K24" s="10">
        <f>K$6*K12</f>
        <v>6865.5670000000009</v>
      </c>
      <c r="L24" s="10">
        <f t="shared" ref="L24" si="58">H24+I24+J24+K24</f>
        <v>29768.987000000001</v>
      </c>
      <c r="M24" s="10">
        <f>M$6*M12</f>
        <v>8409.0600000000013</v>
      </c>
      <c r="N24" s="10">
        <f>N$6*N12</f>
        <v>8414.2850000000017</v>
      </c>
      <c r="O24" s="10">
        <f>O$6*O12</f>
        <v>8485.9500000000007</v>
      </c>
      <c r="P24" s="10">
        <f>P$6*P12</f>
        <v>8169.2050000000008</v>
      </c>
      <c r="Q24" s="10">
        <f t="shared" ref="Q24:Q28" si="59">M24+N24+O24+P24</f>
        <v>33478.5</v>
      </c>
      <c r="R24" s="10">
        <f>R$6*R12</f>
        <v>10087.385000000002</v>
      </c>
      <c r="S24" s="10">
        <f>S$6*S12</f>
        <v>9665.9200000000019</v>
      </c>
      <c r="T24" s="10">
        <f>T$6*T12</f>
        <v>10165.650000000001</v>
      </c>
      <c r="U24" s="10">
        <f>IFERROR((P24*(1+U25)),"na")</f>
        <v>9753.2936988391484</v>
      </c>
      <c r="V24" s="10">
        <f t="shared" ref="V24:V28" si="60">R24+S24+T24+U24</f>
        <v>39672.248698839154</v>
      </c>
      <c r="W24" s="10">
        <f>IFERROR((R24*(1+W25)),"na")</f>
        <v>10894.375800000003</v>
      </c>
      <c r="X24" s="10">
        <f t="shared" ref="X24:Z24" si="61">IFERROR((S24*(1+X25)),"na")</f>
        <v>10439.193600000002</v>
      </c>
      <c r="Y24" s="10">
        <f t="shared" si="61"/>
        <v>10978.902000000002</v>
      </c>
      <c r="Z24" s="10">
        <f t="shared" si="61"/>
        <v>10533.557194746281</v>
      </c>
      <c r="AA24" s="10">
        <f t="shared" ref="AA24:AA28" si="62">W24+X24+Y24+Z24</f>
        <v>42846.028594746291</v>
      </c>
      <c r="AB24" s="10">
        <f t="shared" ref="AB24" si="63">IFERROR((W24*(1+AB25)),"na")</f>
        <v>11983.813380000005</v>
      </c>
      <c r="AC24" s="10">
        <f t="shared" ref="AC24" si="64">IFERROR((X24*(1+AC25)),"na")</f>
        <v>11483.112960000004</v>
      </c>
      <c r="AD24" s="10">
        <f t="shared" ref="AD24" si="65">IFERROR((Y24*(1+AD25)),"na")</f>
        <v>12076.792200000004</v>
      </c>
      <c r="AE24" s="10">
        <f t="shared" ref="AE24" si="66">IFERROR((Z24*(1+AE25)),"na")</f>
        <v>11586.912914220911</v>
      </c>
      <c r="AF24" s="10">
        <f t="shared" ref="AF24" si="67">AB24+AC24+AD24+AE24</f>
        <v>47130.631454220929</v>
      </c>
      <c r="AG24" s="10">
        <f t="shared" ref="AG24" si="68">IFERROR((AB24*(1+AG25)),"na")</f>
        <v>12942.518450400006</v>
      </c>
      <c r="AH24" s="10">
        <f t="shared" ref="AH24" si="69">IFERROR((AC24*(1+AH25)),"na")</f>
        <v>12401.761996800005</v>
      </c>
      <c r="AI24" s="10">
        <f t="shared" ref="AI24" si="70">IFERROR((AD24*(1+AI25)),"na")</f>
        <v>13042.935576000005</v>
      </c>
      <c r="AJ24" s="10">
        <f t="shared" ref="AJ24" si="71">IFERROR((AE24*(1+AJ25)),"na")</f>
        <v>12513.865947358585</v>
      </c>
      <c r="AK24" s="10">
        <f t="shared" ref="AK24" si="72">AG24+AH24+AI24+AJ24</f>
        <v>50901.081970558604</v>
      </c>
      <c r="AL24" s="10">
        <f t="shared" ref="AL24" si="73">IFERROR((AG24*(1+AL25)),"na")</f>
        <v>13977.919926432007</v>
      </c>
      <c r="AM24" s="10">
        <f t="shared" ref="AM24" si="74">IFERROR((AH24*(1+AM25)),"na")</f>
        <v>13393.902956544007</v>
      </c>
      <c r="AN24" s="10">
        <f t="shared" ref="AN24" si="75">IFERROR((AI24*(1+AN25)),"na")</f>
        <v>14086.370422080006</v>
      </c>
      <c r="AO24" s="10">
        <f t="shared" ref="AO24" si="76">IFERROR((AJ24*(1+AO25)),"na")</f>
        <v>13514.975223147272</v>
      </c>
      <c r="AP24" s="10">
        <f t="shared" ref="AP24" si="77">AL24+AM24+AN24+AO24</f>
        <v>54973.168528203292</v>
      </c>
      <c r="AQ24" s="10">
        <f t="shared" ref="AQ24" si="78">IFERROR((AL24*(1+AQ25)),"na")</f>
        <v>15096.153520546568</v>
      </c>
      <c r="AR24" s="10">
        <f t="shared" ref="AR24" si="79">IFERROR((AM24*(1+AR25)),"na")</f>
        <v>14465.415193067529</v>
      </c>
      <c r="AS24" s="10">
        <f t="shared" ref="AS24" si="80">IFERROR((AN24*(1+AS25)),"na")</f>
        <v>15213.280055846408</v>
      </c>
      <c r="AT24" s="10">
        <f t="shared" ref="AT24" si="81">IFERROR((AO24*(1+AT25)),"na")</f>
        <v>14596.173240999055</v>
      </c>
      <c r="AU24" s="10">
        <f t="shared" ref="AU24" si="82">AQ24+AR24+AS24+AT24</f>
        <v>59371.022010459565</v>
      </c>
    </row>
    <row r="25" spans="1:47" s="21" customFormat="1" ht="13.2" x14ac:dyDescent="0.25">
      <c r="A25" s="34" t="s">
        <v>144</v>
      </c>
      <c r="B25" s="35" t="s">
        <v>145</v>
      </c>
      <c r="C25" s="41" t="s">
        <v>147</v>
      </c>
      <c r="D25" s="41" t="s">
        <v>147</v>
      </c>
      <c r="E25" s="41" t="s">
        <v>147</v>
      </c>
      <c r="F25" s="41" t="s">
        <v>147</v>
      </c>
      <c r="G25" s="41" t="s">
        <v>147</v>
      </c>
      <c r="H25" s="29">
        <f t="shared" ref="H25" si="83">IFERROR(H24/C24-1,"na")</f>
        <v>0.13207042042655126</v>
      </c>
      <c r="I25" s="29">
        <f t="shared" ref="I25" si="84">IFERROR(I24/D24-1,"na")</f>
        <v>0.13838825507931474</v>
      </c>
      <c r="J25" s="29">
        <f t="shared" ref="J25" si="85">IFERROR(J24/E24-1,"na")</f>
        <v>5.6255787555635095E-2</v>
      </c>
      <c r="K25" s="29">
        <f t="shared" ref="K25" si="86">IFERROR(K24/F24-1,"na")</f>
        <v>4.3953741386952627E-2</v>
      </c>
      <c r="L25" s="29">
        <f t="shared" ref="L25" si="87">IFERROR(L24/G24-1,"na")</f>
        <v>9.3663789991772495E-2</v>
      </c>
      <c r="M25" s="29">
        <f t="shared" ref="M25" si="88">IFERROR(M24/H24-1,"na")</f>
        <v>1.09885459385759E-2</v>
      </c>
      <c r="N25" s="29">
        <f t="shared" ref="N25" si="89">IFERROR(N24/I24-1,"na")</f>
        <v>0.11985846128620459</v>
      </c>
      <c r="O25" s="29">
        <f t="shared" ref="O25" si="90">IFERROR(O24/J24-1,"na")</f>
        <v>0.19992703676654111</v>
      </c>
      <c r="P25" s="29">
        <f t="shared" ref="P25" si="91">IFERROR(P24/K24-1,"na")</f>
        <v>0.1898806027237081</v>
      </c>
      <c r="Q25" s="29">
        <f t="shared" ref="Q25" si="92">IFERROR(Q24/L24-1,"na")</f>
        <v>0.1246099842094055</v>
      </c>
      <c r="R25" s="29">
        <f t="shared" ref="R25:S25" si="93">IFERROR(R24/M24-1,"na")</f>
        <v>0.19958532820553065</v>
      </c>
      <c r="S25" s="29">
        <f t="shared" si="93"/>
        <v>0.14875120108244499</v>
      </c>
      <c r="T25" s="29">
        <f t="shared" ref="T25" si="94">IFERROR(T24/O24-1,"na")</f>
        <v>0.1979389461403851</v>
      </c>
      <c r="U25" s="36">
        <f>MEDIAN(P25,R25:T25)</f>
        <v>0.1939097744320466</v>
      </c>
      <c r="V25" s="29">
        <f t="shared" ref="V25" si="95">IFERROR(V24/Q24-1,"na")</f>
        <v>0.18500675654044096</v>
      </c>
      <c r="W25" s="36">
        <v>0.08</v>
      </c>
      <c r="X25" s="36">
        <f>W25</f>
        <v>0.08</v>
      </c>
      <c r="Y25" s="36">
        <f t="shared" ref="Y25:Z29" si="96">X25</f>
        <v>0.08</v>
      </c>
      <c r="Z25" s="36">
        <f t="shared" si="96"/>
        <v>0.08</v>
      </c>
      <c r="AA25" s="29">
        <f t="shared" ref="AA25" si="97">IFERROR(AA24/V24-1,"na")</f>
        <v>8.0000000000000071E-2</v>
      </c>
      <c r="AB25" s="36">
        <v>0.1</v>
      </c>
      <c r="AC25" s="36">
        <f>AB25</f>
        <v>0.1</v>
      </c>
      <c r="AD25" s="36">
        <f t="shared" ref="AD25" si="98">AC25</f>
        <v>0.1</v>
      </c>
      <c r="AE25" s="36">
        <f t="shared" ref="AE25" si="99">AD25</f>
        <v>0.1</v>
      </c>
      <c r="AF25" s="29">
        <f t="shared" ref="AF25" si="100">IFERROR(AF24/AA24-1,"na")</f>
        <v>0.10000000000000031</v>
      </c>
      <c r="AG25" s="36">
        <v>0.08</v>
      </c>
      <c r="AH25" s="36">
        <f>AG25</f>
        <v>0.08</v>
      </c>
      <c r="AI25" s="36">
        <f t="shared" ref="AI25" si="101">AH25</f>
        <v>0.08</v>
      </c>
      <c r="AJ25" s="36">
        <f t="shared" ref="AJ25" si="102">AI25</f>
        <v>0.08</v>
      </c>
      <c r="AK25" s="29">
        <f t="shared" ref="AK25" si="103">IFERROR(AK24/AF24-1,"na")</f>
        <v>8.0000000000000071E-2</v>
      </c>
      <c r="AL25" s="36">
        <v>0.08</v>
      </c>
      <c r="AM25" s="36">
        <f t="shared" ref="AM25" si="104">AL25</f>
        <v>0.08</v>
      </c>
      <c r="AN25" s="36">
        <f t="shared" ref="AN25" si="105">AM25</f>
        <v>0.08</v>
      </c>
      <c r="AO25" s="36">
        <f t="shared" ref="AO25" si="106">AN25</f>
        <v>0.08</v>
      </c>
      <c r="AP25" s="29">
        <f t="shared" ref="AP25" si="107">IFERROR(AP24/AK24-1,"na")</f>
        <v>8.0000000000000071E-2</v>
      </c>
      <c r="AQ25" s="36">
        <v>0.08</v>
      </c>
      <c r="AR25" s="36">
        <f t="shared" ref="AR25" si="108">AQ25</f>
        <v>0.08</v>
      </c>
      <c r="AS25" s="36">
        <f t="shared" ref="AS25" si="109">AR25</f>
        <v>0.08</v>
      </c>
      <c r="AT25" s="36">
        <f t="shared" ref="AT25" si="110">AS25</f>
        <v>0.08</v>
      </c>
      <c r="AU25" s="29">
        <f t="shared" ref="AU25" si="111">IFERROR(AU24/AP24-1,"na")</f>
        <v>8.0000000000000071E-2</v>
      </c>
    </row>
    <row r="26" spans="1:47" s="9" customFormat="1" ht="13.2" x14ac:dyDescent="0.25">
      <c r="A26" s="9" t="s">
        <v>192</v>
      </c>
      <c r="B26" s="9" t="s">
        <v>146</v>
      </c>
      <c r="C26" s="10">
        <f t="shared" ref="C26:F26" si="112">C$6*C13</f>
        <v>2938.92</v>
      </c>
      <c r="D26" s="10">
        <f t="shared" si="112"/>
        <v>2640.1200000000003</v>
      </c>
      <c r="E26" s="10">
        <f t="shared" si="112"/>
        <v>2678.1600000000003</v>
      </c>
      <c r="F26" s="10">
        <f t="shared" si="112"/>
        <v>2357.6150000000002</v>
      </c>
      <c r="G26" s="10">
        <f t="shared" ref="G26" si="113">C26+D26+E26+F26</f>
        <v>10614.815000000001</v>
      </c>
      <c r="H26" s="10">
        <f t="shared" ref="H26:K26" si="114">H$6*H13</f>
        <v>2981.8030000000003</v>
      </c>
      <c r="I26" s="10">
        <f t="shared" si="114"/>
        <v>2693.5920000000001</v>
      </c>
      <c r="J26" s="10">
        <f t="shared" si="114"/>
        <v>2535.2649999999999</v>
      </c>
      <c r="K26" s="10">
        <f t="shared" si="114"/>
        <v>2461.2410000000004</v>
      </c>
      <c r="L26" s="10">
        <f t="shared" ref="L26" si="115">H26+I26+J26+K26</f>
        <v>10671.901</v>
      </c>
      <c r="M26" s="10">
        <f t="shared" ref="M26:P26" si="116">M$6*M13</f>
        <v>2904.9480000000003</v>
      </c>
      <c r="N26" s="10">
        <f t="shared" si="116"/>
        <v>2906.7530000000002</v>
      </c>
      <c r="O26" s="10">
        <f t="shared" si="116"/>
        <v>2931.51</v>
      </c>
      <c r="P26" s="10">
        <f t="shared" si="116"/>
        <v>2970.6200000000003</v>
      </c>
      <c r="Q26" s="10">
        <f t="shared" si="59"/>
        <v>11713.831000000002</v>
      </c>
      <c r="R26" s="10">
        <f t="shared" ref="R26" si="117">R$6*R13</f>
        <v>3668.1400000000003</v>
      </c>
      <c r="S26" s="10">
        <f t="shared" ref="S26:T26" si="118">S$6*S13</f>
        <v>3514.8800000000006</v>
      </c>
      <c r="T26" s="10">
        <f t="shared" si="118"/>
        <v>3696.6000000000004</v>
      </c>
      <c r="U26" s="10">
        <f>IFERROR((P26*(1+U27)),"na")</f>
        <v>3669.012992180571</v>
      </c>
      <c r="V26" s="10">
        <f t="shared" si="60"/>
        <v>14548.632992180572</v>
      </c>
      <c r="W26" s="10">
        <f>IFERROR((R26*(1+W27)),"na")</f>
        <v>3888.2284000000004</v>
      </c>
      <c r="X26" s="10">
        <f t="shared" ref="X26:Z26" si="119">IFERROR((S26*(1+X27)),"na")</f>
        <v>3725.7728000000006</v>
      </c>
      <c r="Y26" s="10">
        <f t="shared" si="119"/>
        <v>3918.3960000000006</v>
      </c>
      <c r="Z26" s="10">
        <f t="shared" si="119"/>
        <v>3889.1537717114056</v>
      </c>
      <c r="AA26" s="10">
        <f t="shared" si="62"/>
        <v>15421.550971711407</v>
      </c>
      <c r="AB26" s="10">
        <f t="shared" ref="AB26" si="120">IFERROR((W26*(1+AB27)),"na")</f>
        <v>4277.0512400000007</v>
      </c>
      <c r="AC26" s="10">
        <f t="shared" ref="AC26" si="121">IFERROR((X26*(1+AC27)),"na")</f>
        <v>4098.3500800000011</v>
      </c>
      <c r="AD26" s="10">
        <f t="shared" ref="AD26" si="122">IFERROR((Y26*(1+AD27)),"na")</f>
        <v>4310.2356000000009</v>
      </c>
      <c r="AE26" s="10">
        <f t="shared" ref="AE26" si="123">IFERROR((Z26*(1+AE27)),"na")</f>
        <v>4278.0691488825469</v>
      </c>
      <c r="AF26" s="10">
        <f t="shared" ref="AF26" si="124">AB26+AC26+AD26+AE26</f>
        <v>16963.706068882548</v>
      </c>
      <c r="AG26" s="10">
        <f t="shared" ref="AG26" si="125">IFERROR((AB26*(1+AG27)),"na")</f>
        <v>4490.9038020000007</v>
      </c>
      <c r="AH26" s="10">
        <f t="shared" ref="AH26" si="126">IFERROR((AC26*(1+AH27)),"na")</f>
        <v>4303.2675840000011</v>
      </c>
      <c r="AI26" s="10">
        <f t="shared" ref="AI26" si="127">IFERROR((AD26*(1+AI27)),"na")</f>
        <v>4525.7473800000007</v>
      </c>
      <c r="AJ26" s="10">
        <f t="shared" ref="AJ26" si="128">IFERROR((AE26*(1+AJ27)),"na")</f>
        <v>4491.9726063266744</v>
      </c>
      <c r="AK26" s="10">
        <f t="shared" ref="AK26" si="129">AG26+AH26+AI26+AJ26</f>
        <v>17811.891372326678</v>
      </c>
      <c r="AL26" s="10">
        <f t="shared" ref="AL26" si="130">IFERROR((AG26*(1+AL27)),"na")</f>
        <v>4715.4489921000013</v>
      </c>
      <c r="AM26" s="10">
        <f t="shared" ref="AM26" si="131">IFERROR((AH26*(1+AM27)),"na")</f>
        <v>4518.4309632000013</v>
      </c>
      <c r="AN26" s="10">
        <f t="shared" ref="AN26" si="132">IFERROR((AI26*(1+AN27)),"na")</f>
        <v>4752.0347490000013</v>
      </c>
      <c r="AO26" s="10">
        <f t="shared" ref="AO26" si="133">IFERROR((AJ26*(1+AO27)),"na")</f>
        <v>4716.571236643008</v>
      </c>
      <c r="AP26" s="10">
        <f t="shared" ref="AP26" si="134">AL26+AM26+AN26+AO26</f>
        <v>18702.485940943014</v>
      </c>
      <c r="AQ26" s="10">
        <f t="shared" ref="AQ26" si="135">IFERROR((AL26*(1+AQ27)),"na")</f>
        <v>4951.2214417050018</v>
      </c>
      <c r="AR26" s="10">
        <f t="shared" ref="AR26" si="136">IFERROR((AM26*(1+AR27)),"na")</f>
        <v>4744.3525113600017</v>
      </c>
      <c r="AS26" s="10">
        <f t="shared" ref="AS26" si="137">IFERROR((AN26*(1+AS27)),"na")</f>
        <v>4989.6364864500019</v>
      </c>
      <c r="AT26" s="10">
        <f t="shared" ref="AT26" si="138">IFERROR((AO26*(1+AT27)),"na")</f>
        <v>4952.3997984751586</v>
      </c>
      <c r="AU26" s="10">
        <f t="shared" ref="AU26" si="139">AQ26+AR26+AS26+AT26</f>
        <v>19637.610237990164</v>
      </c>
    </row>
    <row r="27" spans="1:47" s="21" customFormat="1" ht="13.2" x14ac:dyDescent="0.25">
      <c r="A27" s="34" t="s">
        <v>144</v>
      </c>
      <c r="B27" s="35" t="s">
        <v>145</v>
      </c>
      <c r="C27" s="41" t="s">
        <v>147</v>
      </c>
      <c r="D27" s="41" t="s">
        <v>147</v>
      </c>
      <c r="E27" s="41" t="s">
        <v>147</v>
      </c>
      <c r="F27" s="41" t="s">
        <v>147</v>
      </c>
      <c r="G27" s="41" t="s">
        <v>147</v>
      </c>
      <c r="H27" s="29">
        <f t="shared" ref="H27" si="140">IFERROR(H26/C26-1,"na")</f>
        <v>1.4591414533229985E-2</v>
      </c>
      <c r="I27" s="29">
        <f t="shared" ref="I27" si="141">IFERROR(I26/D26-1,"na")</f>
        <v>2.025362483523474E-2</v>
      </c>
      <c r="J27" s="29">
        <f t="shared" ref="J27" si="142">IFERROR(J26/E26-1,"na")</f>
        <v>-5.3355662096364775E-2</v>
      </c>
      <c r="K27" s="29">
        <f t="shared" ref="K27" si="143">IFERROR(K26/F26-1,"na")</f>
        <v>4.3953741386952627E-2</v>
      </c>
      <c r="L27" s="29">
        <f t="shared" ref="L27" si="144">IFERROR(L26/G26-1,"na")</f>
        <v>5.3779552446273637E-3</v>
      </c>
      <c r="M27" s="29">
        <f t="shared" ref="M27" si="145">IFERROR(M26/H26-1,"na")</f>
        <v>-2.5774673913736112E-2</v>
      </c>
      <c r="N27" s="29">
        <f t="shared" ref="N27" si="146">IFERROR(N26/I26-1,"na")</f>
        <v>7.9136335421251536E-2</v>
      </c>
      <c r="O27" s="29">
        <f t="shared" ref="O27" si="147">IFERROR(O26/J26-1,"na")</f>
        <v>0.15629332633866699</v>
      </c>
      <c r="P27" s="29">
        <f t="shared" ref="P27" si="148">IFERROR(P26/K26-1,"na")</f>
        <v>0.20696022860012486</v>
      </c>
      <c r="Q27" s="29">
        <f t="shared" ref="Q27" si="149">IFERROR(Q26/L26-1,"na")</f>
        <v>9.7633027142961959E-2</v>
      </c>
      <c r="R27" s="29">
        <f t="shared" ref="R27:S27" si="150">IFERROR(R26/M26-1,"na")</f>
        <v>0.26272139811108497</v>
      </c>
      <c r="S27" s="29">
        <f t="shared" si="150"/>
        <v>0.20921179061310013</v>
      </c>
      <c r="T27" s="29">
        <f t="shared" ref="T27" si="151">IFERROR(T26/O26-1,"na")</f>
        <v>0.26098836435829997</v>
      </c>
      <c r="U27" s="36">
        <f>MEDIAN(P27,R27:T27)</f>
        <v>0.23510007748570005</v>
      </c>
      <c r="V27" s="29">
        <f t="shared" ref="V27" si="152">IFERROR(V26/Q26-1,"na")</f>
        <v>0.24200468592901592</v>
      </c>
      <c r="W27" s="36">
        <v>0.06</v>
      </c>
      <c r="X27" s="36">
        <f>W27</f>
        <v>0.06</v>
      </c>
      <c r="Y27" s="36">
        <f t="shared" si="96"/>
        <v>0.06</v>
      </c>
      <c r="Z27" s="36">
        <f t="shared" si="96"/>
        <v>0.06</v>
      </c>
      <c r="AA27" s="29">
        <f t="shared" ref="AA27" si="153">IFERROR(AA26/V26-1,"na")</f>
        <v>6.0000000000000053E-2</v>
      </c>
      <c r="AB27" s="36">
        <v>0.1</v>
      </c>
      <c r="AC27" s="36">
        <f>AB27</f>
        <v>0.1</v>
      </c>
      <c r="AD27" s="36">
        <f t="shared" ref="AD27" si="154">AC27</f>
        <v>0.1</v>
      </c>
      <c r="AE27" s="36">
        <f t="shared" ref="AE27" si="155">AD27</f>
        <v>0.1</v>
      </c>
      <c r="AF27" s="29">
        <f t="shared" ref="AF27" si="156">IFERROR(AF26/AA26-1,"na")</f>
        <v>9.9999999999999867E-2</v>
      </c>
      <c r="AG27" s="36">
        <v>0.05</v>
      </c>
      <c r="AH27" s="36">
        <f>AG27</f>
        <v>0.05</v>
      </c>
      <c r="AI27" s="36">
        <f t="shared" ref="AI27" si="157">AH27</f>
        <v>0.05</v>
      </c>
      <c r="AJ27" s="36">
        <f t="shared" ref="AJ27" si="158">AI27</f>
        <v>0.05</v>
      </c>
      <c r="AK27" s="29">
        <f t="shared" ref="AK27" si="159">IFERROR(AK26/AF26-1,"na")</f>
        <v>5.0000000000000266E-2</v>
      </c>
      <c r="AL27" s="36">
        <v>0.05</v>
      </c>
      <c r="AM27" s="36">
        <f t="shared" ref="AM27" si="160">AL27</f>
        <v>0.05</v>
      </c>
      <c r="AN27" s="36">
        <f t="shared" ref="AN27" si="161">AM27</f>
        <v>0.05</v>
      </c>
      <c r="AO27" s="36">
        <f t="shared" ref="AO27" si="162">AN27</f>
        <v>0.05</v>
      </c>
      <c r="AP27" s="29">
        <f t="shared" ref="AP27" si="163">IFERROR(AP26/AK26-1,"na")</f>
        <v>5.0000000000000044E-2</v>
      </c>
      <c r="AQ27" s="36">
        <v>0.05</v>
      </c>
      <c r="AR27" s="36">
        <f t="shared" ref="AR27" si="164">AQ27</f>
        <v>0.05</v>
      </c>
      <c r="AS27" s="36">
        <f t="shared" ref="AS27" si="165">AR27</f>
        <v>0.05</v>
      </c>
      <c r="AT27" s="36">
        <f t="shared" ref="AT27" si="166">AS27</f>
        <v>0.05</v>
      </c>
      <c r="AU27" s="29">
        <f t="shared" ref="AU27" si="167">IFERROR(AU26/AP26-1,"na")</f>
        <v>5.0000000000000044E-2</v>
      </c>
    </row>
    <row r="28" spans="1:47" s="9" customFormat="1" ht="13.2" x14ac:dyDescent="0.25">
      <c r="A28" s="9" t="s">
        <v>193</v>
      </c>
      <c r="B28" s="9" t="s">
        <v>146</v>
      </c>
      <c r="C28" s="10">
        <f>C$6*C14</f>
        <v>1763.3520000000001</v>
      </c>
      <c r="D28" s="10">
        <f>D$6*D14</f>
        <v>1584.0719999999999</v>
      </c>
      <c r="E28" s="10">
        <f>E$6*E14</f>
        <v>1606.896</v>
      </c>
      <c r="F28" s="10">
        <f>F$6*F14</f>
        <v>1489.02</v>
      </c>
      <c r="G28" s="10">
        <f t="shared" ref="G28" si="168">C28+D28+E28+F28</f>
        <v>6443.34</v>
      </c>
      <c r="H28" s="10">
        <f>H$6*H14</f>
        <v>1726.307</v>
      </c>
      <c r="I28" s="10">
        <f>I$6*I14</f>
        <v>1559.4480000000001</v>
      </c>
      <c r="J28" s="10">
        <f>J$6*J14</f>
        <v>1467.7849999999999</v>
      </c>
      <c r="K28" s="10">
        <f>K$6*K14</f>
        <v>1424.9290000000001</v>
      </c>
      <c r="L28" s="10">
        <f t="shared" ref="L28" si="169">H28+I28+J28+K28</f>
        <v>6178.4690000000001</v>
      </c>
      <c r="M28" s="10">
        <f>M$6*M14</f>
        <v>1528.92</v>
      </c>
      <c r="N28" s="10">
        <f>N$6*N14</f>
        <v>1529.8700000000001</v>
      </c>
      <c r="O28" s="10">
        <f>O$6*O14</f>
        <v>1542.9</v>
      </c>
      <c r="P28" s="10">
        <f>P$6*P14</f>
        <v>1336.779</v>
      </c>
      <c r="Q28" s="10">
        <f t="shared" si="59"/>
        <v>5938.469000000001</v>
      </c>
      <c r="R28" s="10">
        <f>R$6*R14</f>
        <v>1650.663</v>
      </c>
      <c r="S28" s="10">
        <f>S$6*S14</f>
        <v>1581.6960000000001</v>
      </c>
      <c r="T28" s="10">
        <f>T$6*T14</f>
        <v>1663.47</v>
      </c>
      <c r="U28" s="10">
        <f>IFERROR((P28*(1+U29)),"na")</f>
        <v>1411.6527487414744</v>
      </c>
      <c r="V28" s="10">
        <f t="shared" si="60"/>
        <v>6307.4817487414748</v>
      </c>
      <c r="W28" s="10">
        <f>IFERROR((R28*(1+W29)),"na")</f>
        <v>1700.18289</v>
      </c>
      <c r="X28" s="10">
        <f t="shared" ref="X28:Z28" si="170">IFERROR((S28*(1+X29)),"na")</f>
        <v>1629.1468800000002</v>
      </c>
      <c r="Y28" s="10">
        <f t="shared" si="170"/>
        <v>1713.3741</v>
      </c>
      <c r="Z28" s="10">
        <f t="shared" si="170"/>
        <v>1454.0023312037188</v>
      </c>
      <c r="AA28" s="10">
        <f t="shared" si="62"/>
        <v>6496.7062012037186</v>
      </c>
      <c r="AB28" s="10">
        <f t="shared" ref="AB28" si="171">IFERROR((W28*(1+AB29)),"na")</f>
        <v>1802.1938634000001</v>
      </c>
      <c r="AC28" s="10">
        <f t="shared" ref="AC28" si="172">IFERROR((X28*(1+AC29)),"na")</f>
        <v>1726.8956928000002</v>
      </c>
      <c r="AD28" s="10">
        <f t="shared" ref="AD28" si="173">IFERROR((Y28*(1+AD29)),"na")</f>
        <v>1816.1765460000001</v>
      </c>
      <c r="AE28" s="10">
        <f t="shared" ref="AE28" si="174">IFERROR((Z28*(1+AE29)),"na")</f>
        <v>1541.2424710759419</v>
      </c>
      <c r="AF28" s="10">
        <f t="shared" ref="AF28" si="175">AB28+AC28+AD28+AE28</f>
        <v>6886.5085732759435</v>
      </c>
      <c r="AG28" s="10">
        <f t="shared" ref="AG28" si="176">IFERROR((AB28*(1+AG29)),"na")</f>
        <v>1892.3035565700002</v>
      </c>
      <c r="AH28" s="10">
        <f t="shared" ref="AH28" si="177">IFERROR((AC28*(1+AH29)),"na")</f>
        <v>1813.2404774400004</v>
      </c>
      <c r="AI28" s="10">
        <f t="shared" ref="AI28" si="178">IFERROR((AD28*(1+AI29)),"na")</f>
        <v>1906.9853733000002</v>
      </c>
      <c r="AJ28" s="10">
        <f t="shared" ref="AJ28" si="179">IFERROR((AE28*(1+AJ29)),"na")</f>
        <v>1618.3045946297391</v>
      </c>
      <c r="AK28" s="10">
        <f t="shared" ref="AK28" si="180">AG28+AH28+AI28+AJ28</f>
        <v>7230.8340019397392</v>
      </c>
      <c r="AL28" s="10">
        <f t="shared" ref="AL28" si="181">IFERROR((AG28*(1+AL29)),"na")</f>
        <v>1986.9187343985002</v>
      </c>
      <c r="AM28" s="10">
        <f t="shared" ref="AM28" si="182">IFERROR((AH28*(1+AM29)),"na")</f>
        <v>1903.9025013120006</v>
      </c>
      <c r="AN28" s="10">
        <f t="shared" ref="AN28" si="183">IFERROR((AI28*(1+AN29)),"na")</f>
        <v>2002.3346419650004</v>
      </c>
      <c r="AO28" s="10">
        <f t="shared" ref="AO28" si="184">IFERROR((AJ28*(1+AO29)),"na")</f>
        <v>1699.2198243612261</v>
      </c>
      <c r="AP28" s="10">
        <f t="shared" ref="AP28" si="185">AL28+AM28+AN28+AO28</f>
        <v>7592.3757020367266</v>
      </c>
      <c r="AQ28" s="10">
        <f t="shared" ref="AQ28" si="186">IFERROR((AL28*(1+AQ29)),"na")</f>
        <v>2086.2646711184252</v>
      </c>
      <c r="AR28" s="10">
        <f t="shared" ref="AR28" si="187">IFERROR((AM28*(1+AR29)),"na")</f>
        <v>1999.0976263776008</v>
      </c>
      <c r="AS28" s="10">
        <f t="shared" ref="AS28" si="188">IFERROR((AN28*(1+AS29)),"na")</f>
        <v>2102.4513740632506</v>
      </c>
      <c r="AT28" s="10">
        <f t="shared" ref="AT28" si="189">IFERROR((AO28*(1+AT29)),"na")</f>
        <v>1784.1808155792874</v>
      </c>
      <c r="AU28" s="10">
        <f t="shared" ref="AU28" si="190">AQ28+AR28+AS28+AT28</f>
        <v>7971.9944871385651</v>
      </c>
    </row>
    <row r="29" spans="1:47" s="21" customFormat="1" ht="13.2" x14ac:dyDescent="0.25">
      <c r="A29" s="34" t="s">
        <v>144</v>
      </c>
      <c r="B29" s="35" t="s">
        <v>145</v>
      </c>
      <c r="C29" s="41" t="s">
        <v>147</v>
      </c>
      <c r="D29" s="41" t="s">
        <v>147</v>
      </c>
      <c r="E29" s="41" t="s">
        <v>147</v>
      </c>
      <c r="F29" s="41" t="s">
        <v>147</v>
      </c>
      <c r="G29" s="41" t="s">
        <v>147</v>
      </c>
      <c r="H29" s="29">
        <f t="shared" ref="H29" si="191">IFERROR(H28/C28-1,"na")</f>
        <v>-2.1008284222322038E-2</v>
      </c>
      <c r="I29" s="29">
        <f t="shared" ref="I29" si="192">IFERROR(I28/D28-1,"na")</f>
        <v>-1.5544747966001471E-2</v>
      </c>
      <c r="J29" s="29">
        <f t="shared" ref="J29" si="193">IFERROR(J28/E28-1,"na")</f>
        <v>-8.6571252900001117E-2</v>
      </c>
      <c r="K29" s="29">
        <f t="shared" ref="K29" si="194">IFERROR(K28/F28-1,"na")</f>
        <v>-4.3042403728626777E-2</v>
      </c>
      <c r="L29" s="29">
        <f t="shared" ref="L29" si="195">IFERROR(L28/G28-1,"na")</f>
        <v>-4.1107717426055457E-2</v>
      </c>
      <c r="M29" s="29">
        <f t="shared" ref="M29" si="196">IFERROR(M28/H28-1,"na")</f>
        <v>-0.11434061264885098</v>
      </c>
      <c r="N29" s="29">
        <f t="shared" ref="N29" si="197">IFERROR(N28/I28-1,"na")</f>
        <v>-1.8966967798862089E-2</v>
      </c>
      <c r="O29" s="29">
        <f t="shared" ref="O29" si="198">IFERROR(O28/J28-1,"na")</f>
        <v>5.1175751216969934E-2</v>
      </c>
      <c r="P29" s="29">
        <f t="shared" ref="P29" si="199">IFERROR(P28/K28-1,"na")</f>
        <v>-6.1862731406266636E-2</v>
      </c>
      <c r="Q29" s="29">
        <f t="shared" ref="Q29" si="200">IFERROR(Q28/L28-1,"na")</f>
        <v>-3.8844574602542981E-2</v>
      </c>
      <c r="R29" s="29">
        <f t="shared" ref="R29:S29" si="201">IFERROR(R28/M28-1,"na")</f>
        <v>7.9626795384977633E-2</v>
      </c>
      <c r="S29" s="29">
        <f t="shared" si="201"/>
        <v>3.3876080974200473E-2</v>
      </c>
      <c r="T29" s="29">
        <f t="shared" ref="T29" si="202">IFERROR(T28/O28-1,"na")</f>
        <v>7.8145051526346432E-2</v>
      </c>
      <c r="U29" s="36">
        <f>MEDIAN(P29,R29:T29)</f>
        <v>5.6010566250273452E-2</v>
      </c>
      <c r="V29" s="29">
        <f t="shared" ref="V29" si="203">IFERROR(V28/Q28-1,"na")</f>
        <v>6.2139374431604111E-2</v>
      </c>
      <c r="W29" s="36">
        <v>0.03</v>
      </c>
      <c r="X29" s="36">
        <f>W29</f>
        <v>0.03</v>
      </c>
      <c r="Y29" s="36">
        <f t="shared" si="96"/>
        <v>0.03</v>
      </c>
      <c r="Z29" s="36">
        <f t="shared" si="96"/>
        <v>0.03</v>
      </c>
      <c r="AA29" s="29">
        <f t="shared" ref="AA29" si="204">IFERROR(AA28/V28-1,"na")</f>
        <v>3.0000000000000027E-2</v>
      </c>
      <c r="AB29" s="36">
        <v>0.06</v>
      </c>
      <c r="AC29" s="36">
        <f>AB29</f>
        <v>0.06</v>
      </c>
      <c r="AD29" s="36">
        <f t="shared" ref="AD29" si="205">AC29</f>
        <v>0.06</v>
      </c>
      <c r="AE29" s="36">
        <f t="shared" ref="AE29" si="206">AD29</f>
        <v>0.06</v>
      </c>
      <c r="AF29" s="29">
        <f t="shared" ref="AF29" si="207">IFERROR(AF28/AA28-1,"na")</f>
        <v>6.0000000000000275E-2</v>
      </c>
      <c r="AG29" s="36">
        <v>0.05</v>
      </c>
      <c r="AH29" s="36">
        <f>AG29</f>
        <v>0.05</v>
      </c>
      <c r="AI29" s="36">
        <f t="shared" ref="AI29" si="208">AH29</f>
        <v>0.05</v>
      </c>
      <c r="AJ29" s="36">
        <f t="shared" ref="AJ29" si="209">AI29</f>
        <v>0.05</v>
      </c>
      <c r="AK29" s="29">
        <f t="shared" ref="AK29" si="210">IFERROR(AK28/AF28-1,"na")</f>
        <v>4.9999999999999822E-2</v>
      </c>
      <c r="AL29" s="36">
        <v>0.05</v>
      </c>
      <c r="AM29" s="36">
        <f t="shared" ref="AM29" si="211">AL29</f>
        <v>0.05</v>
      </c>
      <c r="AN29" s="36">
        <f t="shared" ref="AN29" si="212">AM29</f>
        <v>0.05</v>
      </c>
      <c r="AO29" s="36">
        <f t="shared" ref="AO29" si="213">AN29</f>
        <v>0.05</v>
      </c>
      <c r="AP29" s="29">
        <f t="shared" ref="AP29" si="214">IFERROR(AP28/AK28-1,"na")</f>
        <v>5.0000000000000044E-2</v>
      </c>
      <c r="AQ29" s="36">
        <f t="shared" ref="AQ29" si="215">MEDIAN(AL29:AO29)</f>
        <v>0.05</v>
      </c>
      <c r="AR29" s="36">
        <f t="shared" ref="AR29" si="216">AQ29</f>
        <v>0.05</v>
      </c>
      <c r="AS29" s="36">
        <f t="shared" ref="AS29" si="217">AR29</f>
        <v>0.05</v>
      </c>
      <c r="AT29" s="36">
        <f t="shared" ref="AT29" si="218">AS29</f>
        <v>0.05</v>
      </c>
      <c r="AU29" s="29">
        <f t="shared" ref="AU29" si="219">IFERROR(AU28/AP28-1,"na")</f>
        <v>5.0000000000000266E-2</v>
      </c>
    </row>
    <row r="30" spans="1:47" s="9" customFormat="1" ht="13.2" x14ac:dyDescent="0.25"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 spans="1:47" s="8" customFormat="1" ht="13.2" x14ac:dyDescent="0.25">
      <c r="A31" s="8" t="s">
        <v>205</v>
      </c>
      <c r="B31" s="8" t="s">
        <v>146</v>
      </c>
      <c r="C31" s="20">
        <f>C32+C34+C36</f>
        <v>2645.0280000000002</v>
      </c>
      <c r="D31" s="20">
        <f t="shared" ref="D31" si="220">D32+D34+D36</f>
        <v>2376.1079999999997</v>
      </c>
      <c r="E31" s="20">
        <f t="shared" ref="E31" si="221">E32+E34+E36</f>
        <v>2410.3440000000001</v>
      </c>
      <c r="F31" s="20">
        <f t="shared" ref="F31" si="222">F32+F34+F36</f>
        <v>1985.3600000000001</v>
      </c>
      <c r="G31" s="20">
        <f t="shared" ref="G31" si="223">G32+G34+G36</f>
        <v>9416.84</v>
      </c>
      <c r="H31" s="20">
        <f>H32+H34+H36</f>
        <v>2510.9919999999997</v>
      </c>
      <c r="I31" s="20">
        <f t="shared" ref="I31" si="224">I32+I34+I36</f>
        <v>2268.2880000000005</v>
      </c>
      <c r="J31" s="20">
        <f t="shared" ref="J31" si="225">J32+J34+J36</f>
        <v>2134.96</v>
      </c>
      <c r="K31" s="20">
        <f t="shared" ref="K31" si="226">K32+K34+K36</f>
        <v>2072.6240000000003</v>
      </c>
      <c r="L31" s="20">
        <f t="shared" ref="L31" si="227">L32+L34+L36</f>
        <v>8986.8639999999996</v>
      </c>
      <c r="M31" s="20">
        <f>M32+M34+M36</f>
        <v>2293.38</v>
      </c>
      <c r="N31" s="20">
        <f t="shared" ref="N31:Q31" si="228">N32+N34+N36</f>
        <v>2294.8050000000003</v>
      </c>
      <c r="O31" s="20">
        <f t="shared" si="228"/>
        <v>2314.3500000000004</v>
      </c>
      <c r="P31" s="20">
        <f t="shared" si="228"/>
        <v>2227.9650000000001</v>
      </c>
      <c r="Q31" s="20">
        <f t="shared" si="228"/>
        <v>9130.5</v>
      </c>
      <c r="R31" s="20">
        <f>R32+R34+R36</f>
        <v>2751.105</v>
      </c>
      <c r="S31" s="20">
        <f>S32+S34+S36</f>
        <v>2636.1600000000003</v>
      </c>
      <c r="T31" s="20">
        <f>T32+T34+T36</f>
        <v>2772.4500000000003</v>
      </c>
      <c r="U31" s="20">
        <f t="shared" ref="U31:AA31" si="229">U32+U34+U36</f>
        <v>2732.1995089686407</v>
      </c>
      <c r="V31" s="20">
        <f t="shared" si="229"/>
        <v>10891.914508968641</v>
      </c>
      <c r="W31" s="20">
        <f t="shared" si="229"/>
        <v>2930.8438600000004</v>
      </c>
      <c r="X31" s="20">
        <f t="shared" ref="X31" si="230">X32+X34+X36</f>
        <v>2808.3891200000003</v>
      </c>
      <c r="Y31" s="20">
        <f t="shared" ref="Y31" si="231">Y32+Y34+Y36</f>
        <v>2953.5834000000004</v>
      </c>
      <c r="Z31" s="20">
        <f t="shared" ref="Z31" si="232">Z32+Z34+Z36</f>
        <v>2915.1674635732743</v>
      </c>
      <c r="AA31" s="20">
        <f t="shared" si="229"/>
        <v>11607.983843573274</v>
      </c>
      <c r="AB31" s="20">
        <f t="shared" ref="AB31" si="233">AB32+AB34+AB36</f>
        <v>3165.9716340000004</v>
      </c>
      <c r="AC31" s="20">
        <f t="shared" ref="AC31" si="234">AC32+AC34+AC36</f>
        <v>3033.6929280000008</v>
      </c>
      <c r="AD31" s="20">
        <f t="shared" ref="AD31" si="235">AD32+AD34+AD36</f>
        <v>3190.5354600000005</v>
      </c>
      <c r="AE31" s="20">
        <f t="shared" ref="AE31" si="236">AE32+AE34+AE36</f>
        <v>3156.3953893149724</v>
      </c>
      <c r="AF31" s="20">
        <f t="shared" ref="AF31" si="237">AF32+AF34+AF36</f>
        <v>12546.595411314975</v>
      </c>
      <c r="AG31" s="20">
        <f t="shared" ref="AG31" si="238">AG32+AG34+AG36</f>
        <v>3373.988185260001</v>
      </c>
      <c r="AH31" s="20">
        <f t="shared" ref="AH31" si="239">AH32+AH34+AH36</f>
        <v>3233.0182579200009</v>
      </c>
      <c r="AI31" s="20">
        <f t="shared" ref="AI31" si="240">AI32+AI34+AI36</f>
        <v>3400.165949400001</v>
      </c>
      <c r="AJ31" s="20">
        <f t="shared" ref="AJ31" si="241">AJ32+AJ34+AJ36</f>
        <v>3368.9119972852914</v>
      </c>
      <c r="AK31" s="20">
        <f t="shared" ref="AK31" si="242">AK32+AK34+AK36</f>
        <v>13376.084389865293</v>
      </c>
      <c r="AL31" s="20">
        <f t="shared" ref="AL31" si="243">AL32+AL34+AL36</f>
        <v>3596.1730373142013</v>
      </c>
      <c r="AM31" s="20">
        <f t="shared" ref="AM31" si="244">AM32+AM34+AM36</f>
        <v>3445.919917286401</v>
      </c>
      <c r="AN31" s="20">
        <f t="shared" ref="AN31" si="245">AN32+AN34+AN36</f>
        <v>3624.0746671980014</v>
      </c>
      <c r="AO31" s="20">
        <f t="shared" ref="AO31" si="246">AO32+AO34+AO36</f>
        <v>3596.2306691460017</v>
      </c>
      <c r="AP31" s="20">
        <f t="shared" ref="AP31" si="247">AP32+AP34+AP36</f>
        <v>14262.398290944606</v>
      </c>
      <c r="AQ31" s="20">
        <f t="shared" ref="AQ31" si="248">AQ32+AQ34+AQ36</f>
        <v>3833.5234052007913</v>
      </c>
      <c r="AR31" s="20">
        <f t="shared" ref="AR31" si="249">AR32+AR34+AR36</f>
        <v>3673.3534561036813</v>
      </c>
      <c r="AS31" s="20">
        <f t="shared" ref="AS31" si="250">AS32+AS34+AS36</f>
        <v>3863.2665655251017</v>
      </c>
      <c r="AT31" s="20">
        <f t="shared" ref="AT31" si="251">AT32+AT34+AT36</f>
        <v>3839.4136359556669</v>
      </c>
      <c r="AU31" s="20">
        <f t="shared" ref="AU31" si="252">AU32+AU34+AU36</f>
        <v>15209.557062785243</v>
      </c>
    </row>
    <row r="32" spans="1:47" s="9" customFormat="1" ht="13.2" x14ac:dyDescent="0.25">
      <c r="A32" s="9" t="s">
        <v>196</v>
      </c>
      <c r="B32" s="9" t="s">
        <v>146</v>
      </c>
      <c r="C32" s="10">
        <f>C$6*C17</f>
        <v>881.67600000000004</v>
      </c>
      <c r="D32" s="10">
        <f>D$6*D17</f>
        <v>792.03599999999994</v>
      </c>
      <c r="E32" s="10">
        <f>E$6*E17</f>
        <v>803.44799999999998</v>
      </c>
      <c r="F32" s="10">
        <f>F$6*F17</f>
        <v>744.51</v>
      </c>
      <c r="G32" s="10">
        <f t="shared" ref="G32" si="253">C32+D32+E32+F32</f>
        <v>3221.67</v>
      </c>
      <c r="H32" s="10">
        <f>H$6*H17</f>
        <v>941.62199999999996</v>
      </c>
      <c r="I32" s="10">
        <f>I$6*I17</f>
        <v>850.60800000000006</v>
      </c>
      <c r="J32" s="10">
        <f>J$6*J17</f>
        <v>800.6099999999999</v>
      </c>
      <c r="K32" s="10">
        <f>K$6*K17</f>
        <v>777.23400000000004</v>
      </c>
      <c r="L32" s="10">
        <f t="shared" ref="L32" si="254">H32+I32+J32+K32</f>
        <v>3370.0740000000001</v>
      </c>
      <c r="M32" s="10">
        <f>M$6*M17</f>
        <v>764.46</v>
      </c>
      <c r="N32" s="10">
        <f>N$6*N17</f>
        <v>764.93500000000006</v>
      </c>
      <c r="O32" s="10">
        <f>O$6*O17</f>
        <v>771.45</v>
      </c>
      <c r="P32" s="10">
        <f>P$6*P17</f>
        <v>891.18600000000004</v>
      </c>
      <c r="Q32" s="10">
        <f t="shared" ref="Q32" si="255">M32+N32+O32+P32</f>
        <v>3192.0310000000004</v>
      </c>
      <c r="R32" s="10">
        <f>R$6*R17</f>
        <v>1100.442</v>
      </c>
      <c r="S32" s="10">
        <f>S$6*S17</f>
        <v>1054.4639999999999</v>
      </c>
      <c r="T32" s="10">
        <f>T$6*T17</f>
        <v>1108.98</v>
      </c>
      <c r="U32" s="10">
        <f>IFERROR((P32*(1+U33)),"na")</f>
        <v>1254.8024433257549</v>
      </c>
      <c r="V32" s="10">
        <f t="shared" ref="V32" si="256">R32+S32+T32+U32</f>
        <v>4518.6884433257546</v>
      </c>
      <c r="W32" s="10">
        <f>IFERROR((R32*(1+W33)),"na")</f>
        <v>1188.4773600000001</v>
      </c>
      <c r="X32" s="10">
        <f t="shared" ref="X32:Z32" si="257">IFERROR((S32*(1+X33)),"na")</f>
        <v>1138.8211200000001</v>
      </c>
      <c r="Y32" s="10">
        <f t="shared" si="257"/>
        <v>1197.6984</v>
      </c>
      <c r="Z32" s="10">
        <f t="shared" si="257"/>
        <v>1355.1866387918153</v>
      </c>
      <c r="AA32" s="10">
        <f t="shared" ref="AA32" si="258">W32+X32+Y32+Z32</f>
        <v>4880.1835187918159</v>
      </c>
      <c r="AB32" s="10">
        <f t="shared" ref="AB32" si="259">IFERROR((W32*(1+AB33)),"na")</f>
        <v>1307.3250960000003</v>
      </c>
      <c r="AC32" s="10">
        <f t="shared" ref="AC32" si="260">IFERROR((X32*(1+AC33)),"na")</f>
        <v>1252.7032320000001</v>
      </c>
      <c r="AD32" s="10">
        <f t="shared" ref="AD32" si="261">IFERROR((Y32*(1+AD33)),"na")</f>
        <v>1317.4682400000002</v>
      </c>
      <c r="AE32" s="10">
        <f t="shared" ref="AE32" si="262">IFERROR((Z32*(1+AE33)),"na")</f>
        <v>1490.7053026709971</v>
      </c>
      <c r="AF32" s="10">
        <f t="shared" ref="AF32" si="263">AB32+AC32+AD32+AE32</f>
        <v>5368.2018706709978</v>
      </c>
      <c r="AG32" s="10">
        <f t="shared" ref="AG32" si="264">IFERROR((AB32*(1+AG33)),"na")</f>
        <v>1411.9111036800005</v>
      </c>
      <c r="AH32" s="10">
        <f t="shared" ref="AH32" si="265">IFERROR((AC32*(1+AH33)),"na")</f>
        <v>1352.9194905600002</v>
      </c>
      <c r="AI32" s="10">
        <f t="shared" ref="AI32" si="266">IFERROR((AD32*(1+AI33)),"na")</f>
        <v>1422.8656992000003</v>
      </c>
      <c r="AJ32" s="10">
        <f t="shared" ref="AJ32" si="267">IFERROR((AE32*(1+AJ33)),"na")</f>
        <v>1609.9617268846769</v>
      </c>
      <c r="AK32" s="10">
        <f t="shared" ref="AK32" si="268">AG32+AH32+AI32+AJ32</f>
        <v>5797.6580203246776</v>
      </c>
      <c r="AL32" s="10">
        <f t="shared" ref="AL32" si="269">IFERROR((AG32*(1+AL33)),"na")</f>
        <v>1524.8639919744005</v>
      </c>
      <c r="AM32" s="10">
        <f t="shared" ref="AM32" si="270">IFERROR((AH32*(1+AM33)),"na")</f>
        <v>1461.1530498048003</v>
      </c>
      <c r="AN32" s="10">
        <f t="shared" ref="AN32" si="271">IFERROR((AI32*(1+AN33)),"na")</f>
        <v>1536.6949551360005</v>
      </c>
      <c r="AO32" s="10">
        <f t="shared" ref="AO32" si="272">IFERROR((AJ32*(1+AO33)),"na")</f>
        <v>1738.758665035451</v>
      </c>
      <c r="AP32" s="10">
        <f t="shared" ref="AP32" si="273">AL32+AM32+AN32+AO32</f>
        <v>6261.4706619506524</v>
      </c>
      <c r="AQ32" s="10">
        <f t="shared" ref="AQ32" si="274">IFERROR((AL32*(1+AQ33)),"na")</f>
        <v>1646.8531113323527</v>
      </c>
      <c r="AR32" s="10">
        <f t="shared" ref="AR32" si="275">IFERROR((AM32*(1+AR33)),"na")</f>
        <v>1578.0452937891844</v>
      </c>
      <c r="AS32" s="10">
        <f t="shared" ref="AS32" si="276">IFERROR((AN32*(1+AS33)),"na")</f>
        <v>1659.6305515468807</v>
      </c>
      <c r="AT32" s="10">
        <f t="shared" ref="AT32" si="277">IFERROR((AO32*(1+AT33)),"na")</f>
        <v>1877.8593582382873</v>
      </c>
      <c r="AU32" s="10">
        <f t="shared" ref="AU32" si="278">AQ32+AR32+AS32+AT32</f>
        <v>6762.3883149067051</v>
      </c>
    </row>
    <row r="33" spans="1:47" s="21" customFormat="1" ht="13.2" x14ac:dyDescent="0.25">
      <c r="A33" s="34" t="s">
        <v>144</v>
      </c>
      <c r="B33" s="35" t="s">
        <v>145</v>
      </c>
      <c r="C33" s="41" t="s">
        <v>147</v>
      </c>
      <c r="D33" s="41" t="s">
        <v>147</v>
      </c>
      <c r="E33" s="41" t="s">
        <v>147</v>
      </c>
      <c r="F33" s="41" t="s">
        <v>147</v>
      </c>
      <c r="G33" s="41" t="s">
        <v>147</v>
      </c>
      <c r="H33" s="29">
        <f t="shared" ref="H33" si="279">IFERROR(H32/C32-1,"na")</f>
        <v>6.7990962666557575E-2</v>
      </c>
      <c r="I33" s="29">
        <f t="shared" ref="I33" si="280">IFERROR(I32/D32-1,"na")</f>
        <v>7.3951184037089446E-2</v>
      </c>
      <c r="J33" s="29">
        <f t="shared" ref="J33" si="281">IFERROR(J32/E32-1,"na")</f>
        <v>-3.5322758909103191E-3</v>
      </c>
      <c r="K33" s="29">
        <f t="shared" ref="K33" si="282">IFERROR(K32/F32-1,"na")</f>
        <v>4.3953741386952627E-2</v>
      </c>
      <c r="L33" s="29">
        <f t="shared" ref="L33" si="283">IFERROR(L32/G32-1,"na")</f>
        <v>4.6064308262484976E-2</v>
      </c>
      <c r="M33" s="29">
        <f t="shared" ref="M33" si="284">IFERROR(M32/H32-1,"na")</f>
        <v>-0.18814556159478002</v>
      </c>
      <c r="N33" s="29">
        <f t="shared" ref="N33" si="285">IFERROR(N32/I32-1,"na")</f>
        <v>-0.10071972048229028</v>
      </c>
      <c r="O33" s="29">
        <f t="shared" ref="O33" si="286">IFERROR(O32/J32-1,"na")</f>
        <v>-3.6422228051110839E-2</v>
      </c>
      <c r="P33" s="29">
        <f t="shared" ref="P33" si="287">IFERROR(P32/K32-1,"na")</f>
        <v>0.14661221717011874</v>
      </c>
      <c r="Q33" s="29">
        <f t="shared" ref="Q33" si="288">IFERROR(Q32/L32-1,"na")</f>
        <v>-5.2830590663587751E-2</v>
      </c>
      <c r="R33" s="29">
        <f t="shared" ref="R33:S33" si="289">IFERROR(R32/M32-1,"na")</f>
        <v>0.4395023938466367</v>
      </c>
      <c r="S33" s="29">
        <f t="shared" si="289"/>
        <v>0.37850144129893382</v>
      </c>
      <c r="T33" s="29">
        <f t="shared" ref="T33" si="290">IFERROR(T32/O32-1,"na")</f>
        <v>0.43752673536846198</v>
      </c>
      <c r="U33" s="36">
        <f>MEDIAN(P33,R33:T33)</f>
        <v>0.4080140883336979</v>
      </c>
      <c r="V33" s="29">
        <f t="shared" ref="V33" si="291">IFERROR(V32/Q32-1,"na")</f>
        <v>0.41561546342305378</v>
      </c>
      <c r="W33" s="36">
        <v>0.08</v>
      </c>
      <c r="X33" s="36">
        <f>W33</f>
        <v>0.08</v>
      </c>
      <c r="Y33" s="36">
        <f t="shared" ref="Y33:Z33" si="292">X33</f>
        <v>0.08</v>
      </c>
      <c r="Z33" s="36">
        <f t="shared" si="292"/>
        <v>0.08</v>
      </c>
      <c r="AA33" s="29">
        <f t="shared" ref="AA33" si="293">IFERROR(AA32/V32-1,"na")</f>
        <v>8.0000000000000293E-2</v>
      </c>
      <c r="AB33" s="36">
        <v>0.1</v>
      </c>
      <c r="AC33" s="36">
        <f>AB33</f>
        <v>0.1</v>
      </c>
      <c r="AD33" s="36">
        <f t="shared" ref="AD33" si="294">AC33</f>
        <v>0.1</v>
      </c>
      <c r="AE33" s="36">
        <f t="shared" ref="AE33" si="295">AD33</f>
        <v>0.1</v>
      </c>
      <c r="AF33" s="29">
        <f t="shared" ref="AF33" si="296">IFERROR(AF32/AA32-1,"na")</f>
        <v>0.10000000000000009</v>
      </c>
      <c r="AG33" s="36">
        <v>0.08</v>
      </c>
      <c r="AH33" s="36">
        <f>AG33</f>
        <v>0.08</v>
      </c>
      <c r="AI33" s="36">
        <f t="shared" ref="AI33" si="297">AH33</f>
        <v>0.08</v>
      </c>
      <c r="AJ33" s="36">
        <f t="shared" ref="AJ33" si="298">AI33</f>
        <v>0.08</v>
      </c>
      <c r="AK33" s="29">
        <f t="shared" ref="AK33" si="299">IFERROR(AK32/AF32-1,"na")</f>
        <v>8.0000000000000071E-2</v>
      </c>
      <c r="AL33" s="36">
        <v>0.08</v>
      </c>
      <c r="AM33" s="36">
        <f t="shared" ref="AM33:AR37" si="300">AL33</f>
        <v>0.08</v>
      </c>
      <c r="AN33" s="36">
        <f t="shared" ref="AN33" si="301">AM33</f>
        <v>0.08</v>
      </c>
      <c r="AO33" s="36">
        <f t="shared" ref="AO33" si="302">AN33</f>
        <v>0.08</v>
      </c>
      <c r="AP33" s="29">
        <f t="shared" ref="AP33" si="303">IFERROR(AP32/AK32-1,"na")</f>
        <v>8.0000000000000071E-2</v>
      </c>
      <c r="AQ33" s="36">
        <f t="shared" ref="AQ33" si="304">MEDIAN(AL33:AO33)</f>
        <v>0.08</v>
      </c>
      <c r="AR33" s="36">
        <f t="shared" si="300"/>
        <v>0.08</v>
      </c>
      <c r="AS33" s="36">
        <f t="shared" ref="AS33" si="305">AR33</f>
        <v>0.08</v>
      </c>
      <c r="AT33" s="36">
        <f t="shared" ref="AT33" si="306">AS33</f>
        <v>0.08</v>
      </c>
      <c r="AU33" s="29">
        <f t="shared" ref="AU33" si="307">IFERROR(AU32/AP32-1,"na")</f>
        <v>8.0000000000000071E-2</v>
      </c>
    </row>
    <row r="34" spans="1:47" s="9" customFormat="1" ht="13.2" x14ac:dyDescent="0.25">
      <c r="A34" s="9" t="s">
        <v>197</v>
      </c>
      <c r="B34" s="9" t="s">
        <v>146</v>
      </c>
      <c r="C34" s="10">
        <f t="shared" ref="C34:F34" si="308">C$6*C18</f>
        <v>881.67600000000004</v>
      </c>
      <c r="D34" s="10">
        <f t="shared" si="308"/>
        <v>792.03599999999994</v>
      </c>
      <c r="E34" s="10">
        <f t="shared" si="308"/>
        <v>803.44799999999998</v>
      </c>
      <c r="F34" s="10">
        <f t="shared" si="308"/>
        <v>620.42500000000007</v>
      </c>
      <c r="G34" s="10">
        <f t="shared" ref="G34" si="309">C34+D34+E34+F34</f>
        <v>3097.585</v>
      </c>
      <c r="H34" s="10">
        <f t="shared" ref="H34:K34" si="310">H$6*H18</f>
        <v>784.68499999999995</v>
      </c>
      <c r="I34" s="10">
        <f t="shared" si="310"/>
        <v>708.84</v>
      </c>
      <c r="J34" s="10">
        <f t="shared" si="310"/>
        <v>667.17499999999984</v>
      </c>
      <c r="K34" s="10">
        <f t="shared" si="310"/>
        <v>647.69500000000005</v>
      </c>
      <c r="L34" s="10">
        <f t="shared" ref="L34" si="311">H34+I34+J34+K34</f>
        <v>2808.395</v>
      </c>
      <c r="M34" s="10">
        <f t="shared" ref="M34:P34" si="312">M$6*M18</f>
        <v>764.46</v>
      </c>
      <c r="N34" s="10">
        <f t="shared" si="312"/>
        <v>764.93500000000006</v>
      </c>
      <c r="O34" s="10">
        <f t="shared" si="312"/>
        <v>771.45</v>
      </c>
      <c r="P34" s="10">
        <f t="shared" si="312"/>
        <v>742.65500000000009</v>
      </c>
      <c r="Q34" s="10">
        <f t="shared" ref="Q34" si="313">M34+N34+O34+P34</f>
        <v>3043.5000000000005</v>
      </c>
      <c r="R34" s="10">
        <f t="shared" ref="R34" si="314">R$6*R18</f>
        <v>917.03500000000008</v>
      </c>
      <c r="S34" s="10">
        <f t="shared" ref="S34:T34" si="315">S$6*S18</f>
        <v>878.72000000000014</v>
      </c>
      <c r="T34" s="10">
        <f t="shared" si="315"/>
        <v>924.15000000000009</v>
      </c>
      <c r="U34" s="10">
        <f>IFERROR((P34*(1+U35)),"na")</f>
        <v>871.39058564288553</v>
      </c>
      <c r="V34" s="10">
        <f t="shared" ref="V34" si="316">R34+S34+T34+U34</f>
        <v>3591.2955856428857</v>
      </c>
      <c r="W34" s="10">
        <f>IFERROR((R34*(1+W35)),"na")</f>
        <v>972.0571000000001</v>
      </c>
      <c r="X34" s="10">
        <f t="shared" ref="X34:Z34" si="317">IFERROR((S34*(1+X35)),"na")</f>
        <v>931.44320000000016</v>
      </c>
      <c r="Y34" s="10">
        <f t="shared" si="317"/>
        <v>979.59900000000016</v>
      </c>
      <c r="Z34" s="10">
        <f t="shared" si="317"/>
        <v>923.67402078145869</v>
      </c>
      <c r="AA34" s="10">
        <f t="shared" ref="AA34" si="318">W34+X34+Y34+Z34</f>
        <v>3806.773320781459</v>
      </c>
      <c r="AB34" s="10">
        <f t="shared" ref="AB34" si="319">IFERROR((W34*(1+AB35)),"na")</f>
        <v>1049.8216680000003</v>
      </c>
      <c r="AC34" s="10">
        <f t="shared" ref="AC34" si="320">IFERROR((X34*(1+AC35)),"na")</f>
        <v>1005.9586560000002</v>
      </c>
      <c r="AD34" s="10">
        <f t="shared" ref="AD34" si="321">IFERROR((Y34*(1+AD35)),"na")</f>
        <v>1057.9669200000003</v>
      </c>
      <c r="AE34" s="10">
        <f t="shared" ref="AE34" si="322">IFERROR((Z34*(1+AE35)),"na")</f>
        <v>997.56794244397543</v>
      </c>
      <c r="AF34" s="10">
        <f t="shared" ref="AF34" si="323">AB34+AC34+AD34+AE34</f>
        <v>4111.315186443976</v>
      </c>
      <c r="AG34" s="10">
        <f t="shared" ref="AG34" si="324">IFERROR((AB34*(1+AG35)),"na")</f>
        <v>1112.8109680800003</v>
      </c>
      <c r="AH34" s="10">
        <f t="shared" ref="AH34" si="325">IFERROR((AC34*(1+AH35)),"na")</f>
        <v>1066.3161753600002</v>
      </c>
      <c r="AI34" s="10">
        <f t="shared" ref="AI34" si="326">IFERROR((AD34*(1+AI35)),"na")</f>
        <v>1121.4449352000004</v>
      </c>
      <c r="AJ34" s="10">
        <f t="shared" ref="AJ34" si="327">IFERROR((AE34*(1+AJ35)),"na")</f>
        <v>1057.4220189906141</v>
      </c>
      <c r="AK34" s="10">
        <f t="shared" ref="AK34" si="328">AG34+AH34+AI34+AJ34</f>
        <v>4357.9940976306152</v>
      </c>
      <c r="AL34" s="10">
        <f t="shared" ref="AL34" si="329">IFERROR((AG34*(1+AL35)),"na")</f>
        <v>1179.5796261648004</v>
      </c>
      <c r="AM34" s="10">
        <f t="shared" ref="AM34" si="330">IFERROR((AH34*(1+AM35)),"na")</f>
        <v>1130.2951458816003</v>
      </c>
      <c r="AN34" s="10">
        <f t="shared" ref="AN34" si="331">IFERROR((AI34*(1+AN35)),"na")</f>
        <v>1188.7316313120004</v>
      </c>
      <c r="AO34" s="10">
        <f t="shared" ref="AO34" si="332">IFERROR((AJ34*(1+AO35)),"na")</f>
        <v>1120.8673401300509</v>
      </c>
      <c r="AP34" s="10">
        <f t="shared" ref="AP34" si="333">AL34+AM34+AN34+AO34</f>
        <v>4619.4737434884519</v>
      </c>
      <c r="AQ34" s="10">
        <f t="shared" ref="AQ34" si="334">IFERROR((AL34*(1+AQ35)),"na")</f>
        <v>1250.3544037346885</v>
      </c>
      <c r="AR34" s="10">
        <f t="shared" ref="AR34" si="335">IFERROR((AM34*(1+AR35)),"na")</f>
        <v>1198.1128546344964</v>
      </c>
      <c r="AS34" s="10">
        <f t="shared" ref="AS34" si="336">IFERROR((AN34*(1+AS35)),"na")</f>
        <v>1260.0555291907206</v>
      </c>
      <c r="AT34" s="10">
        <f t="shared" ref="AT34" si="337">IFERROR((AO34*(1+AT35)),"na")</f>
        <v>1188.1193805378541</v>
      </c>
      <c r="AU34" s="10">
        <f t="shared" ref="AU34" si="338">AQ34+AR34+AS34+AT34</f>
        <v>4896.6421680977601</v>
      </c>
    </row>
    <row r="35" spans="1:47" s="21" customFormat="1" ht="13.2" x14ac:dyDescent="0.25">
      <c r="A35" s="34" t="s">
        <v>144</v>
      </c>
      <c r="B35" s="35" t="s">
        <v>145</v>
      </c>
      <c r="C35" s="41" t="s">
        <v>147</v>
      </c>
      <c r="D35" s="41" t="s">
        <v>147</v>
      </c>
      <c r="E35" s="41" t="s">
        <v>147</v>
      </c>
      <c r="F35" s="41" t="s">
        <v>147</v>
      </c>
      <c r="G35" s="41" t="s">
        <v>147</v>
      </c>
      <c r="H35" s="29">
        <f t="shared" ref="H35" si="339">IFERROR(H34/C34-1,"na")</f>
        <v>-0.11000753111120198</v>
      </c>
      <c r="I35" s="29">
        <f t="shared" ref="I35" si="340">IFERROR(I34/D34-1,"na")</f>
        <v>-0.10504067996909217</v>
      </c>
      <c r="J35" s="29">
        <f t="shared" ref="J35" si="341">IFERROR(J34/E34-1,"na")</f>
        <v>-0.16961022990909203</v>
      </c>
      <c r="K35" s="29">
        <f t="shared" ref="K35" si="342">IFERROR(K34/F34-1,"na")</f>
        <v>4.3953741386952405E-2</v>
      </c>
      <c r="L35" s="29">
        <f t="shared" ref="L35" si="343">IFERROR(L34/G34-1,"na")</f>
        <v>-9.3359827091104908E-2</v>
      </c>
      <c r="M35" s="29">
        <f t="shared" ref="M35" si="344">IFERROR(M34/H34-1,"na")</f>
        <v>-2.5774673913736001E-2</v>
      </c>
      <c r="N35" s="29">
        <f t="shared" ref="N35" si="345">IFERROR(N34/I34-1,"na")</f>
        <v>7.9136335421251758E-2</v>
      </c>
      <c r="O35" s="29">
        <f t="shared" ref="O35" si="346">IFERROR(O34/J34-1,"na")</f>
        <v>0.15629332633866722</v>
      </c>
      <c r="P35" s="29">
        <f t="shared" ref="P35" si="347">IFERROR(P34/K34-1,"na")</f>
        <v>0.14661221717011874</v>
      </c>
      <c r="Q35" s="29">
        <f t="shared" ref="Q35" si="348">IFERROR(Q34/L34-1,"na")</f>
        <v>8.3715075692700092E-2</v>
      </c>
      <c r="R35" s="29">
        <f t="shared" ref="R35:S35" si="349">IFERROR(R34/M34-1,"na")</f>
        <v>0.19958532820553065</v>
      </c>
      <c r="S35" s="29">
        <f t="shared" si="349"/>
        <v>0.14875120108244499</v>
      </c>
      <c r="T35" s="29">
        <f t="shared" ref="T35" si="350">IFERROR(T34/O34-1,"na")</f>
        <v>0.1979389461403851</v>
      </c>
      <c r="U35" s="36">
        <f>MEDIAN(P35,R35:T35)</f>
        <v>0.17334507361141505</v>
      </c>
      <c r="V35" s="29">
        <f t="shared" ref="V35" si="351">IFERROR(V34/Q34-1,"na")</f>
        <v>0.17998869250628724</v>
      </c>
      <c r="W35" s="36">
        <v>0.06</v>
      </c>
      <c r="X35" s="36">
        <f>W35</f>
        <v>0.06</v>
      </c>
      <c r="Y35" s="36">
        <f t="shared" ref="Y35:Z35" si="352">X35</f>
        <v>0.06</v>
      </c>
      <c r="Z35" s="36">
        <f t="shared" si="352"/>
        <v>0.06</v>
      </c>
      <c r="AA35" s="29">
        <f t="shared" ref="AA35" si="353">IFERROR(AA34/V34-1,"na")</f>
        <v>6.0000000000000053E-2</v>
      </c>
      <c r="AB35" s="36">
        <v>0.08</v>
      </c>
      <c r="AC35" s="36">
        <f>AB35</f>
        <v>0.08</v>
      </c>
      <c r="AD35" s="36">
        <f t="shared" ref="AD35" si="354">AC35</f>
        <v>0.08</v>
      </c>
      <c r="AE35" s="36">
        <f t="shared" ref="AE35" si="355">AD35</f>
        <v>0.08</v>
      </c>
      <c r="AF35" s="29">
        <f t="shared" ref="AF35" si="356">IFERROR(AF34/AA34-1,"na")</f>
        <v>8.0000000000000071E-2</v>
      </c>
      <c r="AG35" s="36">
        <v>0.06</v>
      </c>
      <c r="AH35" s="36">
        <f>AG35</f>
        <v>0.06</v>
      </c>
      <c r="AI35" s="36">
        <f t="shared" ref="AI35" si="357">AH35</f>
        <v>0.06</v>
      </c>
      <c r="AJ35" s="36">
        <f t="shared" ref="AJ35" si="358">AI35</f>
        <v>0.06</v>
      </c>
      <c r="AK35" s="29">
        <f t="shared" ref="AK35" si="359">IFERROR(AK34/AF34-1,"na")</f>
        <v>6.0000000000000053E-2</v>
      </c>
      <c r="AL35" s="36">
        <v>0.06</v>
      </c>
      <c r="AM35" s="36">
        <f t="shared" si="300"/>
        <v>0.06</v>
      </c>
      <c r="AN35" s="36">
        <f t="shared" ref="AN35" si="360">AM35</f>
        <v>0.06</v>
      </c>
      <c r="AO35" s="36">
        <f t="shared" ref="AO35" si="361">AN35</f>
        <v>0.06</v>
      </c>
      <c r="AP35" s="29">
        <f t="shared" ref="AP35" si="362">IFERROR(AP34/AK34-1,"na")</f>
        <v>5.9999999999999831E-2</v>
      </c>
      <c r="AQ35" s="36">
        <v>0.06</v>
      </c>
      <c r="AR35" s="36">
        <f t="shared" si="300"/>
        <v>0.06</v>
      </c>
      <c r="AS35" s="36">
        <f t="shared" ref="AS35" si="363">AR35</f>
        <v>0.06</v>
      </c>
      <c r="AT35" s="36">
        <f t="shared" ref="AT35" si="364">AS35</f>
        <v>0.06</v>
      </c>
      <c r="AU35" s="29">
        <f t="shared" ref="AU35" si="365">IFERROR(AU34/AP34-1,"na")</f>
        <v>6.0000000000000275E-2</v>
      </c>
    </row>
    <row r="36" spans="1:47" s="9" customFormat="1" ht="13.2" x14ac:dyDescent="0.25">
      <c r="A36" s="9" t="s">
        <v>198</v>
      </c>
      <c r="B36" s="9" t="s">
        <v>146</v>
      </c>
      <c r="C36" s="10">
        <f>C$6*C19</f>
        <v>881.67600000000004</v>
      </c>
      <c r="D36" s="10">
        <f>D$6*D19</f>
        <v>792.03599999999994</v>
      </c>
      <c r="E36" s="10">
        <f>E$6*E19</f>
        <v>803.44799999999998</v>
      </c>
      <c r="F36" s="10">
        <f>F$6*F19</f>
        <v>620.42500000000007</v>
      </c>
      <c r="G36" s="10">
        <f t="shared" ref="G36" si="366">C36+D36+E36+F36</f>
        <v>3097.585</v>
      </c>
      <c r="H36" s="10">
        <f>H$6*H19</f>
        <v>784.68500000000006</v>
      </c>
      <c r="I36" s="10">
        <f>I$6*I19</f>
        <v>708.84000000000015</v>
      </c>
      <c r="J36" s="10">
        <f>J$6*J19</f>
        <v>667.17499999999995</v>
      </c>
      <c r="K36" s="10">
        <f>K$6*K19</f>
        <v>647.69500000000016</v>
      </c>
      <c r="L36" s="10">
        <f t="shared" ref="L36" si="367">H36+I36+J36+K36</f>
        <v>2808.395</v>
      </c>
      <c r="M36" s="10">
        <f>M$6*M19</f>
        <v>764.46</v>
      </c>
      <c r="N36" s="10">
        <f>N$6*N19</f>
        <v>764.93500000000006</v>
      </c>
      <c r="O36" s="10">
        <f>O$6*O19</f>
        <v>771.45</v>
      </c>
      <c r="P36" s="10">
        <f>P$6*P19</f>
        <v>594.12400000000002</v>
      </c>
      <c r="Q36" s="10">
        <f t="shared" ref="Q36" si="368">M36+N36+O36+P36</f>
        <v>2894.9690000000001</v>
      </c>
      <c r="R36" s="10">
        <f>R$6*R19</f>
        <v>733.62800000000004</v>
      </c>
      <c r="S36" s="10">
        <f>S$6*S19</f>
        <v>702.97600000000011</v>
      </c>
      <c r="T36" s="10">
        <f>T$6*T19</f>
        <v>739.32</v>
      </c>
      <c r="U36" s="10">
        <f>IFERROR((P36*(1+U37)),"na")</f>
        <v>606.00648000000001</v>
      </c>
      <c r="V36" s="10">
        <f t="shared" ref="V36" si="369">R36+S36+T36+U36</f>
        <v>2781.9304800000004</v>
      </c>
      <c r="W36" s="10">
        <f>IFERROR((R36*(1+W37)),"na")</f>
        <v>770.3094000000001</v>
      </c>
      <c r="X36" s="10">
        <f t="shared" ref="X36:Z36" si="370">IFERROR((S36*(1+X37)),"na")</f>
        <v>738.12480000000016</v>
      </c>
      <c r="Y36" s="10">
        <f t="shared" si="370"/>
        <v>776.28600000000006</v>
      </c>
      <c r="Z36" s="10">
        <f t="shared" si="370"/>
        <v>636.30680400000006</v>
      </c>
      <c r="AA36" s="10">
        <f t="shared" ref="AA36" si="371">W36+X36+Y36+Z36</f>
        <v>2921.0270040000005</v>
      </c>
      <c r="AB36" s="10">
        <f t="shared" ref="AB36" si="372">IFERROR((W36*(1+AB37)),"na")</f>
        <v>808.82487000000015</v>
      </c>
      <c r="AC36" s="10">
        <f t="shared" ref="AC36" si="373">IFERROR((X36*(1+AC37)),"na")</f>
        <v>775.03104000000019</v>
      </c>
      <c r="AD36" s="10">
        <f t="shared" ref="AD36" si="374">IFERROR((Y36*(1+AD37)),"na")</f>
        <v>815.10030000000006</v>
      </c>
      <c r="AE36" s="10">
        <f t="shared" ref="AE36" si="375">IFERROR((Z36*(1+AE37)),"na")</f>
        <v>668.12214420000009</v>
      </c>
      <c r="AF36" s="10">
        <f t="shared" ref="AF36" si="376">AB36+AC36+AD36+AE36</f>
        <v>3067.0783542000004</v>
      </c>
      <c r="AG36" s="10">
        <f t="shared" ref="AG36" si="377">IFERROR((AB36*(1+AG37)),"na")</f>
        <v>849.26611350000019</v>
      </c>
      <c r="AH36" s="10">
        <f t="shared" ref="AH36" si="378">IFERROR((AC36*(1+AH37)),"na")</f>
        <v>813.78259200000025</v>
      </c>
      <c r="AI36" s="10">
        <f t="shared" ref="AI36" si="379">IFERROR((AD36*(1+AI37)),"na")</f>
        <v>855.85531500000013</v>
      </c>
      <c r="AJ36" s="10">
        <f t="shared" ref="AJ36" si="380">IFERROR((AE36*(1+AJ37)),"na")</f>
        <v>701.52825141000017</v>
      </c>
      <c r="AK36" s="10">
        <f t="shared" ref="AK36" si="381">AG36+AH36+AI36+AJ36</f>
        <v>3220.432271910001</v>
      </c>
      <c r="AL36" s="10">
        <f t="shared" ref="AL36" si="382">IFERROR((AG36*(1+AL37)),"na")</f>
        <v>891.7294191750002</v>
      </c>
      <c r="AM36" s="10">
        <f t="shared" ref="AM36" si="383">IFERROR((AH36*(1+AM37)),"na")</f>
        <v>854.47172160000025</v>
      </c>
      <c r="AN36" s="10">
        <f t="shared" ref="AN36" si="384">IFERROR((AI36*(1+AN37)),"na")</f>
        <v>898.64808075000019</v>
      </c>
      <c r="AO36" s="10">
        <f t="shared" ref="AO36" si="385">IFERROR((AJ36*(1+AO37)),"na")</f>
        <v>736.60466398050016</v>
      </c>
      <c r="AP36" s="10">
        <f t="shared" ref="AP36" si="386">AL36+AM36+AN36+AO36</f>
        <v>3381.4538855055007</v>
      </c>
      <c r="AQ36" s="10">
        <f t="shared" ref="AQ36" si="387">IFERROR((AL36*(1+AQ37)),"na")</f>
        <v>936.31589013375026</v>
      </c>
      <c r="AR36" s="10">
        <f t="shared" ref="AR36" si="388">IFERROR((AM36*(1+AR37)),"na")</f>
        <v>897.19530768000027</v>
      </c>
      <c r="AS36" s="10">
        <f t="shared" ref="AS36" si="389">IFERROR((AN36*(1+AS37)),"na")</f>
        <v>943.58048478750027</v>
      </c>
      <c r="AT36" s="10">
        <f t="shared" ref="AT36" si="390">IFERROR((AO36*(1+AT37)),"na")</f>
        <v>773.43489717952525</v>
      </c>
      <c r="AU36" s="10">
        <f t="shared" ref="AU36" si="391">AQ36+AR36+AS36+AT36</f>
        <v>3550.526579780776</v>
      </c>
    </row>
    <row r="37" spans="1:47" s="21" customFormat="1" ht="13.2" x14ac:dyDescent="0.25">
      <c r="A37" s="34" t="s">
        <v>144</v>
      </c>
      <c r="B37" s="35" t="s">
        <v>145</v>
      </c>
      <c r="C37" s="41" t="s">
        <v>147</v>
      </c>
      <c r="D37" s="41" t="s">
        <v>147</v>
      </c>
      <c r="E37" s="41" t="s">
        <v>147</v>
      </c>
      <c r="F37" s="41" t="s">
        <v>147</v>
      </c>
      <c r="G37" s="41" t="s">
        <v>147</v>
      </c>
      <c r="H37" s="29">
        <f t="shared" ref="H37" si="392">IFERROR(H36/C36-1,"na")</f>
        <v>-0.11000753111120187</v>
      </c>
      <c r="I37" s="29">
        <f t="shared" ref="I37" si="393">IFERROR(I36/D36-1,"na")</f>
        <v>-0.10504067996909205</v>
      </c>
      <c r="J37" s="29">
        <f t="shared" ref="J37" si="394">IFERROR(J36/E36-1,"na")</f>
        <v>-0.1696102299090918</v>
      </c>
      <c r="K37" s="29">
        <f t="shared" ref="K37" si="395">IFERROR(K36/F36-1,"na")</f>
        <v>4.3953741386952627E-2</v>
      </c>
      <c r="L37" s="29">
        <f t="shared" ref="L37" si="396">IFERROR(L36/G36-1,"na")</f>
        <v>-9.3359827091104908E-2</v>
      </c>
      <c r="M37" s="29">
        <f t="shared" ref="M37" si="397">IFERROR(M36/H36-1,"na")</f>
        <v>-2.5774673913736112E-2</v>
      </c>
      <c r="N37" s="29">
        <f t="shared" ref="N37" si="398">IFERROR(N36/I36-1,"na")</f>
        <v>7.9136335421251536E-2</v>
      </c>
      <c r="O37" s="29">
        <f t="shared" ref="O37" si="399">IFERROR(O36/J36-1,"na")</f>
        <v>0.15629332633866699</v>
      </c>
      <c r="P37" s="29">
        <f t="shared" ref="P37" si="400">IFERROR(P36/K36-1,"na")</f>
        <v>-8.2710226263905229E-2</v>
      </c>
      <c r="Q37" s="29">
        <f t="shared" ref="Q37" si="401">IFERROR(Q36/L36-1,"na")</f>
        <v>3.0826860181705218E-2</v>
      </c>
      <c r="R37" s="29">
        <f t="shared" ref="R37:S37" si="402">IFERROR(R36/M36-1,"na")</f>
        <v>-4.0331737435575388E-2</v>
      </c>
      <c r="S37" s="29">
        <f t="shared" si="402"/>
        <v>-8.0999039134043938E-2</v>
      </c>
      <c r="T37" s="29">
        <f t="shared" ref="T37" si="403">IFERROR(T36/O36-1,"na")</f>
        <v>-4.1648843087692011E-2</v>
      </c>
      <c r="U37" s="36">
        <v>0.02</v>
      </c>
      <c r="V37" s="29">
        <f t="shared" ref="V37" si="404">IFERROR(V36/Q36-1,"na")</f>
        <v>-3.9046539013025572E-2</v>
      </c>
      <c r="W37" s="36">
        <v>0.05</v>
      </c>
      <c r="X37" s="36">
        <f>W37</f>
        <v>0.05</v>
      </c>
      <c r="Y37" s="36">
        <f t="shared" ref="Y37:Z37" si="405">X37</f>
        <v>0.05</v>
      </c>
      <c r="Z37" s="36">
        <f t="shared" si="405"/>
        <v>0.05</v>
      </c>
      <c r="AA37" s="29">
        <f t="shared" ref="AA37" si="406">IFERROR(AA36/V36-1,"na")</f>
        <v>5.0000000000000044E-2</v>
      </c>
      <c r="AB37" s="36">
        <v>0.05</v>
      </c>
      <c r="AC37" s="36">
        <f>AB37</f>
        <v>0.05</v>
      </c>
      <c r="AD37" s="36">
        <f t="shared" ref="AD37" si="407">AC37</f>
        <v>0.05</v>
      </c>
      <c r="AE37" s="36">
        <f t="shared" ref="AE37" si="408">AD37</f>
        <v>0.05</v>
      </c>
      <c r="AF37" s="29">
        <f t="shared" ref="AF37" si="409">IFERROR(AF36/AA36-1,"na")</f>
        <v>5.0000000000000044E-2</v>
      </c>
      <c r="AG37" s="36">
        <f t="shared" ref="AG37" si="410">AE37</f>
        <v>0.05</v>
      </c>
      <c r="AH37" s="36">
        <f t="shared" ref="AH37:AJ37" si="411">AG37</f>
        <v>0.05</v>
      </c>
      <c r="AI37" s="36">
        <f t="shared" si="411"/>
        <v>0.05</v>
      </c>
      <c r="AJ37" s="36">
        <f t="shared" si="411"/>
        <v>0.05</v>
      </c>
      <c r="AK37" s="29">
        <f t="shared" ref="AK37" si="412">IFERROR(AK36/AF36-1,"na")</f>
        <v>5.0000000000000266E-2</v>
      </c>
      <c r="AL37" s="36">
        <f t="shared" ref="AL37" si="413">AJ37</f>
        <v>0.05</v>
      </c>
      <c r="AM37" s="36">
        <f t="shared" si="300"/>
        <v>0.05</v>
      </c>
      <c r="AN37" s="36">
        <f t="shared" ref="AN37" si="414">AM37</f>
        <v>0.05</v>
      </c>
      <c r="AO37" s="36">
        <f t="shared" ref="AO37" si="415">AN37</f>
        <v>0.05</v>
      </c>
      <c r="AP37" s="29">
        <f t="shared" ref="AP37" si="416">IFERROR(AP36/AK36-1,"na")</f>
        <v>4.9999999999999822E-2</v>
      </c>
      <c r="AQ37" s="36">
        <f t="shared" ref="AQ37" si="417">AO37</f>
        <v>0.05</v>
      </c>
      <c r="AR37" s="36">
        <f t="shared" si="300"/>
        <v>0.05</v>
      </c>
      <c r="AS37" s="36">
        <f t="shared" ref="AS37" si="418">AR37</f>
        <v>0.05</v>
      </c>
      <c r="AT37" s="36">
        <f t="shared" ref="AT37" si="419">AS37</f>
        <v>0.05</v>
      </c>
      <c r="AU37" s="29">
        <f t="shared" ref="AU37" si="420">IFERROR(AU36/AP36-1,"na")</f>
        <v>5.0000000000000044E-2</v>
      </c>
    </row>
    <row r="38" spans="1:47" s="9" customFormat="1" ht="13.2" x14ac:dyDescent="0.25"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spans="1:47" s="8" customFormat="1" ht="13.2" x14ac:dyDescent="0.25">
      <c r="A39" s="8" t="s">
        <v>206</v>
      </c>
      <c r="B39" s="8" t="s">
        <v>146</v>
      </c>
      <c r="C39" s="20">
        <f>C$6*C21</f>
        <v>0</v>
      </c>
      <c r="D39" s="20">
        <f>D$6*D21</f>
        <v>0</v>
      </c>
      <c r="E39" s="20">
        <f>E$6*E21</f>
        <v>0</v>
      </c>
      <c r="F39" s="20">
        <f>F$6*F21</f>
        <v>0</v>
      </c>
      <c r="G39" s="20">
        <f t="shared" ref="G39" si="421">C39+D39+E39+F39</f>
        <v>0</v>
      </c>
      <c r="H39" s="20">
        <f>H$6*H21</f>
        <v>156.93700000000001</v>
      </c>
      <c r="I39" s="20">
        <f>I$6*I21</f>
        <v>141.768</v>
      </c>
      <c r="J39" s="20">
        <f>J$6*J21</f>
        <v>133.43499999999997</v>
      </c>
      <c r="K39" s="20">
        <f>K$6*K21</f>
        <v>129.53900000000002</v>
      </c>
      <c r="L39" s="20">
        <f t="shared" ref="L39" si="422">H39+I39+J39+K39</f>
        <v>561.67899999999997</v>
      </c>
      <c r="M39" s="20">
        <f>M$6*M21</f>
        <v>152.89200000000002</v>
      </c>
      <c r="N39" s="20">
        <f>N$6*N21</f>
        <v>152.98700000000002</v>
      </c>
      <c r="O39" s="20">
        <f>O$6*O21</f>
        <v>154.29</v>
      </c>
      <c r="P39" s="20">
        <f>P$6*P21</f>
        <v>148.53100000000001</v>
      </c>
      <c r="Q39" s="20">
        <f t="shared" ref="Q39" si="423">M39+N39+O39+P39</f>
        <v>608.70000000000005</v>
      </c>
      <c r="R39" s="20">
        <f>R$6*R21</f>
        <v>183.40700000000001</v>
      </c>
      <c r="S39" s="20">
        <f>S$6*S21</f>
        <v>175.74400000000003</v>
      </c>
      <c r="T39" s="20">
        <f>T$6*T21</f>
        <v>184.83</v>
      </c>
      <c r="U39" s="20">
        <f>IFERROR((P39*(1+U40)),"na")</f>
        <v>174.27811712857709</v>
      </c>
      <c r="V39" s="20">
        <f t="shared" ref="V39" si="424">R39+S39+T39+U39</f>
        <v>718.25911712857715</v>
      </c>
      <c r="W39" s="20">
        <f>IFERROR((R39*(1+W40)),"na")</f>
        <v>198.07956000000001</v>
      </c>
      <c r="X39" s="20">
        <f t="shared" ref="X39:Z39" si="425">IFERROR((S39*(1+X40)),"na")</f>
        <v>189.80352000000005</v>
      </c>
      <c r="Y39" s="20">
        <f t="shared" si="425"/>
        <v>199.61640000000003</v>
      </c>
      <c r="Z39" s="20">
        <f t="shared" si="425"/>
        <v>188.22036649886329</v>
      </c>
      <c r="AA39" s="20">
        <f t="shared" ref="AA39" si="426">W39+X39+Y39+Z39</f>
        <v>775.71984649886338</v>
      </c>
      <c r="AB39" s="20">
        <f t="shared" ref="AB39" si="427">IFERROR((W39*(1+AB40)),"na")</f>
        <v>213.92592480000002</v>
      </c>
      <c r="AC39" s="20">
        <f t="shared" ref="AC39" si="428">IFERROR((X39*(1+AC40)),"na")</f>
        <v>204.98780160000007</v>
      </c>
      <c r="AD39" s="20">
        <f t="shared" ref="AD39" si="429">IFERROR((Y39*(1+AD40)),"na")</f>
        <v>215.58571200000003</v>
      </c>
      <c r="AE39" s="20">
        <f t="shared" ref="AE39" si="430">IFERROR((Z39*(1+AE40)),"na")</f>
        <v>203.27799581877235</v>
      </c>
      <c r="AF39" s="20">
        <f t="shared" ref="AF39" si="431">AB39+AC39+AD39+AE39</f>
        <v>837.77743421877244</v>
      </c>
      <c r="AG39" s="20">
        <f t="shared" ref="AG39" si="432">IFERROR((AB39*(1+AG40)),"na")</f>
        <v>231.03999878400003</v>
      </c>
      <c r="AH39" s="20">
        <f t="shared" ref="AH39" si="433">IFERROR((AC39*(1+AH40)),"na")</f>
        <v>221.38682572800008</v>
      </c>
      <c r="AI39" s="20">
        <f t="shared" ref="AI39" si="434">IFERROR((AD39*(1+AI40)),"na")</f>
        <v>232.83256896000006</v>
      </c>
      <c r="AJ39" s="20">
        <f t="shared" ref="AJ39" si="435">IFERROR((AE39*(1+AJ40)),"na")</f>
        <v>219.54023548427415</v>
      </c>
      <c r="AK39" s="20">
        <f t="shared" ref="AK39" si="436">AG39+AH39+AI39+AJ39</f>
        <v>904.79962895627432</v>
      </c>
      <c r="AL39" s="20">
        <f t="shared" ref="AL39" si="437">IFERROR((AG39*(1+AL40)),"na")</f>
        <v>249.52319868672006</v>
      </c>
      <c r="AM39" s="20">
        <f t="shared" ref="AM39" si="438">IFERROR((AH39*(1+AM40)),"na")</f>
        <v>239.09777178624009</v>
      </c>
      <c r="AN39" s="20">
        <f t="shared" ref="AN39" si="439">IFERROR((AI39*(1+AN40)),"na")</f>
        <v>251.45917447680009</v>
      </c>
      <c r="AO39" s="20">
        <f t="shared" ref="AO39" si="440">IFERROR((AJ39*(1+AO40)),"na")</f>
        <v>237.10345432301611</v>
      </c>
      <c r="AP39" s="20">
        <f t="shared" ref="AP39" si="441">AL39+AM39+AN39+AO39</f>
        <v>977.18359927277629</v>
      </c>
      <c r="AQ39" s="20">
        <f t="shared" ref="AQ39" si="442">IFERROR((AL39*(1+AQ40)),"na")</f>
        <v>269.48505458165766</v>
      </c>
      <c r="AR39" s="20">
        <f t="shared" ref="AR39" si="443">IFERROR((AM39*(1+AR40)),"na")</f>
        <v>258.2255935291393</v>
      </c>
      <c r="AS39" s="20">
        <f t="shared" ref="AS39" si="444">IFERROR((AN39*(1+AS40)),"na")</f>
        <v>271.5759084349441</v>
      </c>
      <c r="AT39" s="20">
        <f t="shared" ref="AT39" si="445">IFERROR((AO39*(1+AT40)),"na")</f>
        <v>256.07173066885741</v>
      </c>
      <c r="AU39" s="20">
        <f t="shared" ref="AU39" si="446">AQ39+AR39+AS39+AT39</f>
        <v>1055.3582872145985</v>
      </c>
    </row>
    <row r="40" spans="1:47" s="21" customFormat="1" ht="13.2" x14ac:dyDescent="0.25">
      <c r="A40" s="34" t="s">
        <v>144</v>
      </c>
      <c r="B40" s="35" t="s">
        <v>145</v>
      </c>
      <c r="C40" s="41" t="s">
        <v>147</v>
      </c>
      <c r="D40" s="41" t="s">
        <v>147</v>
      </c>
      <c r="E40" s="41" t="s">
        <v>147</v>
      </c>
      <c r="F40" s="41" t="s">
        <v>147</v>
      </c>
      <c r="G40" s="41" t="s">
        <v>147</v>
      </c>
      <c r="H40" s="29" t="str">
        <f t="shared" ref="H40" si="447">IFERROR(H39/C39-1,"na")</f>
        <v>na</v>
      </c>
      <c r="I40" s="29" t="str">
        <f t="shared" ref="I40" si="448">IFERROR(I39/D39-1,"na")</f>
        <v>na</v>
      </c>
      <c r="J40" s="29" t="str">
        <f t="shared" ref="J40" si="449">IFERROR(J39/E39-1,"na")</f>
        <v>na</v>
      </c>
      <c r="K40" s="29" t="str">
        <f t="shared" ref="K40" si="450">IFERROR(K39/F39-1,"na")</f>
        <v>na</v>
      </c>
      <c r="L40" s="29" t="str">
        <f t="shared" ref="L40" si="451">IFERROR(L39/G39-1,"na")</f>
        <v>na</v>
      </c>
      <c r="M40" s="29">
        <f t="shared" ref="M40" si="452">IFERROR(M39/H39-1,"na")</f>
        <v>-2.5774673913736001E-2</v>
      </c>
      <c r="N40" s="29">
        <f t="shared" ref="N40" si="453">IFERROR(N39/I39-1,"na")</f>
        <v>7.9136335421251758E-2</v>
      </c>
      <c r="O40" s="29">
        <f t="shared" ref="O40" si="454">IFERROR(O39/J39-1,"na")</f>
        <v>0.15629332633866699</v>
      </c>
      <c r="P40" s="29">
        <f t="shared" ref="P40" si="455">IFERROR(P39/K39-1,"na")</f>
        <v>0.14661221717011852</v>
      </c>
      <c r="Q40" s="29">
        <f t="shared" ref="Q40" si="456">IFERROR(Q39/L39-1,"na")</f>
        <v>8.3715075692700092E-2</v>
      </c>
      <c r="R40" s="29">
        <f t="shared" ref="R40:S40" si="457">IFERROR(R39/M39-1,"na")</f>
        <v>0.19958532820553065</v>
      </c>
      <c r="S40" s="29">
        <f t="shared" si="457"/>
        <v>0.14875120108244499</v>
      </c>
      <c r="T40" s="29">
        <f t="shared" ref="T40" si="458">IFERROR(T39/O39-1,"na")</f>
        <v>0.1979389461403851</v>
      </c>
      <c r="U40" s="36">
        <f>MEDIAN(P40,R40:T40)</f>
        <v>0.17334507361141505</v>
      </c>
      <c r="V40" s="29">
        <f t="shared" ref="V40" si="459">IFERROR(V39/Q39-1,"na")</f>
        <v>0.17998869250628724</v>
      </c>
      <c r="W40" s="36">
        <v>0.08</v>
      </c>
      <c r="X40" s="36">
        <f>W40</f>
        <v>0.08</v>
      </c>
      <c r="Y40" s="36">
        <f t="shared" ref="Y40:Z40" si="460">X40</f>
        <v>0.08</v>
      </c>
      <c r="Z40" s="36">
        <f t="shared" si="460"/>
        <v>0.08</v>
      </c>
      <c r="AA40" s="29">
        <f t="shared" ref="AA40" si="461">IFERROR(AA39/V39-1,"na")</f>
        <v>8.0000000000000071E-2</v>
      </c>
      <c r="AB40" s="36">
        <f t="shared" ref="AB40" si="462">MEDIAN(W40:Z40)</f>
        <v>0.08</v>
      </c>
      <c r="AC40" s="36">
        <f>AB40</f>
        <v>0.08</v>
      </c>
      <c r="AD40" s="36">
        <f t="shared" ref="AD40" si="463">AC40</f>
        <v>0.08</v>
      </c>
      <c r="AE40" s="36">
        <f t="shared" ref="AE40" si="464">AD40</f>
        <v>0.08</v>
      </c>
      <c r="AF40" s="29">
        <f t="shared" ref="AF40" si="465">IFERROR(AF39/AA39-1,"na")</f>
        <v>8.0000000000000071E-2</v>
      </c>
      <c r="AG40" s="36">
        <f t="shared" ref="AG40" si="466">MEDIAN(AB40:AE40)</f>
        <v>0.08</v>
      </c>
      <c r="AH40" s="36">
        <f>AG40</f>
        <v>0.08</v>
      </c>
      <c r="AI40" s="36">
        <f t="shared" ref="AI40" si="467">AH40</f>
        <v>0.08</v>
      </c>
      <c r="AJ40" s="36">
        <f t="shared" ref="AJ40" si="468">AI40</f>
        <v>0.08</v>
      </c>
      <c r="AK40" s="29">
        <f t="shared" ref="AK40" si="469">IFERROR(AK39/AF39-1,"na")</f>
        <v>8.0000000000000071E-2</v>
      </c>
      <c r="AL40" s="36">
        <f t="shared" ref="AL40" si="470">MEDIAN(AG40:AJ40)</f>
        <v>0.08</v>
      </c>
      <c r="AM40" s="36">
        <f t="shared" ref="AM40" si="471">AL40</f>
        <v>0.08</v>
      </c>
      <c r="AN40" s="36">
        <f t="shared" ref="AN40" si="472">AM40</f>
        <v>0.08</v>
      </c>
      <c r="AO40" s="36">
        <f t="shared" ref="AO40" si="473">AN40</f>
        <v>0.08</v>
      </c>
      <c r="AP40" s="29">
        <f t="shared" ref="AP40" si="474">IFERROR(AP39/AK39-1,"na")</f>
        <v>8.0000000000000071E-2</v>
      </c>
      <c r="AQ40" s="36">
        <f t="shared" ref="AQ40" si="475">MEDIAN(AL40:AO40)</f>
        <v>0.08</v>
      </c>
      <c r="AR40" s="36">
        <f t="shared" ref="AR40" si="476">AQ40</f>
        <v>0.08</v>
      </c>
      <c r="AS40" s="36">
        <f t="shared" ref="AS40" si="477">AR40</f>
        <v>0.08</v>
      </c>
      <c r="AT40" s="36">
        <f t="shared" ref="AT40" si="478">AS40</f>
        <v>0.08</v>
      </c>
      <c r="AU40" s="29">
        <f t="shared" ref="AU40" si="479">IFERROR(AU39/AP39-1,"na")</f>
        <v>8.0000000000000071E-2</v>
      </c>
    </row>
    <row r="41" spans="1:47" s="9" customFormat="1" ht="13.2" x14ac:dyDescent="0.25"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spans="1:47" s="8" customFormat="1" ht="13.2" x14ac:dyDescent="0.25">
      <c r="A42" s="8" t="s">
        <v>207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</row>
    <row r="43" spans="1:47" s="9" customFormat="1" ht="13.2" x14ac:dyDescent="0.25">
      <c r="A43" s="9" t="s">
        <v>208</v>
      </c>
      <c r="B43" s="9" t="s">
        <v>146</v>
      </c>
      <c r="C43" s="10">
        <f>Financials!C24</f>
        <v>3436.8999999999996</v>
      </c>
      <c r="D43" s="10">
        <f>Financials!D24</f>
        <v>3013.9</v>
      </c>
      <c r="E43" s="10">
        <f>Financials!E24</f>
        <v>2952.6000000000004</v>
      </c>
      <c r="F43" s="10">
        <f>Financials!F24</f>
        <v>2383.6999999999998</v>
      </c>
      <c r="G43" s="10">
        <f t="shared" ref="G43" si="480">C43+D43+E43+F43</f>
        <v>11787.099999999999</v>
      </c>
      <c r="H43" s="10">
        <f>Financials!H24</f>
        <v>3943.3000000000006</v>
      </c>
      <c r="I43" s="10">
        <f>Financials!I24</f>
        <v>3225.4</v>
      </c>
      <c r="J43" s="10">
        <f>Financials!J24</f>
        <v>2908.7999999999984</v>
      </c>
      <c r="K43" s="10">
        <f>Financials!K24</f>
        <v>2578.5000000000023</v>
      </c>
      <c r="L43" s="10">
        <f t="shared" ref="L43:L44" si="481">H43+I43+J43+K43</f>
        <v>12656.000000000002</v>
      </c>
      <c r="M43" s="10">
        <f>Financials!M24</f>
        <v>3209.8000000000015</v>
      </c>
      <c r="N43" s="10">
        <f>Financials!N24</f>
        <v>3760.6000000000004</v>
      </c>
      <c r="O43" s="10">
        <f>Financials!O24</f>
        <v>3702.4999999999982</v>
      </c>
      <c r="P43" s="10">
        <f>Financials!P24</f>
        <v>2739.3000000000006</v>
      </c>
      <c r="Q43" s="10">
        <f t="shared" ref="Q43:Q46" si="482">M43+N43+O43+P43</f>
        <v>13412.2</v>
      </c>
      <c r="R43" s="10">
        <f>Financials!R24</f>
        <v>3816.6000000000013</v>
      </c>
      <c r="S43" s="10">
        <f>Financials!S24</f>
        <v>3648.4000000000028</v>
      </c>
      <c r="T43" s="10">
        <f>Financials!T24</f>
        <v>3367.4999999999986</v>
      </c>
      <c r="U43" s="10">
        <f>U44+U46</f>
        <v>3491.4796118964682</v>
      </c>
      <c r="V43" s="10">
        <f t="shared" ref="V43:V44" si="483">R43+S43+T43+U43</f>
        <v>14323.97961189647</v>
      </c>
      <c r="W43" s="10">
        <f t="shared" ref="W43:Z43" si="484">W44+W46</f>
        <v>3982.0431162349951</v>
      </c>
      <c r="X43" s="10">
        <f>X44+X46</f>
        <v>3757.0999060308741</v>
      </c>
      <c r="Y43" s="10">
        <f t="shared" si="484"/>
        <v>3920.6921291662784</v>
      </c>
      <c r="Z43" s="10">
        <f t="shared" si="484"/>
        <v>3779.8981346153382</v>
      </c>
      <c r="AA43" s="10">
        <f t="shared" ref="AA43:AA44" si="485">W43+X43+Y43+Z43</f>
        <v>15439.733286047485</v>
      </c>
      <c r="AB43" s="10">
        <f t="shared" ref="AB43" si="486">AB44+AB46</f>
        <v>4278.9783296417054</v>
      </c>
      <c r="AC43" s="10">
        <f t="shared" ref="AC43" si="487">AC44+AC46</f>
        <v>4096.1165079234688</v>
      </c>
      <c r="AD43" s="10">
        <f t="shared" ref="AD43" si="488">AD44+AD46</f>
        <v>4305.8883489232712</v>
      </c>
      <c r="AE43" s="10">
        <f t="shared" ref="AE43" si="489">AE44+AE46</f>
        <v>4138.7581401170792</v>
      </c>
      <c r="AF43" s="10">
        <f t="shared" ref="AF43:AF44" si="490">AB43+AC43+AD43+AE43</f>
        <v>16819.741326605526</v>
      </c>
      <c r="AG43" s="10">
        <f t="shared" ref="AG43" si="491">AG44+AG46</f>
        <v>4570.9919421603327</v>
      </c>
      <c r="AH43" s="10">
        <f t="shared" ref="AH43" si="492">AH44+AH46</f>
        <v>4379.6588497104149</v>
      </c>
      <c r="AI43" s="10">
        <f t="shared" ref="AI43" si="493">AI44+AI46</f>
        <v>4606.0510260419869</v>
      </c>
      <c r="AJ43" s="10">
        <f t="shared" ref="AJ43" si="494">AJ44+AJ46</f>
        <v>4427.4347936423483</v>
      </c>
      <c r="AK43" s="10">
        <f t="shared" ref="AK43:AK44" si="495">AG43+AH43+AI43+AJ43</f>
        <v>17984.136611555081</v>
      </c>
      <c r="AL43" s="10">
        <f t="shared" ref="AL43" si="496">AL44+AL46</f>
        <v>4888.7870682864614</v>
      </c>
      <c r="AM43" s="10">
        <f t="shared" ref="AM43" si="497">AM44+AM46</f>
        <v>4684.4253140019518</v>
      </c>
      <c r="AN43" s="10">
        <f t="shared" ref="AN43" si="498">AN44+AN46</f>
        <v>4926.7050516681029</v>
      </c>
      <c r="AO43" s="10">
        <f t="shared" ref="AO43" si="499">AO44+AO46</f>
        <v>4736.8354301589079</v>
      </c>
      <c r="AP43" s="10">
        <f t="shared" ref="AP43:AP44" si="500">AL43+AM43+AN43+AO43</f>
        <v>19236.752864115424</v>
      </c>
      <c r="AQ43" s="10">
        <f t="shared" ref="AQ43" si="501">AQ44+AQ46</f>
        <v>5229.8924190626431</v>
      </c>
      <c r="AR43" s="10">
        <f t="shared" ref="AR43" si="502">AR44+AR46</f>
        <v>5011.2954703686728</v>
      </c>
      <c r="AS43" s="10">
        <f t="shared" ref="AS43" si="503">AS44+AS46</f>
        <v>5270.4832225162345</v>
      </c>
      <c r="AT43" s="10">
        <f t="shared" ref="AT43" si="504">AT44+AT46</f>
        <v>5068.6847894565617</v>
      </c>
      <c r="AU43" s="10">
        <f t="shared" ref="AU43:AU44" si="505">AQ43+AR43+AS43+AT43</f>
        <v>20580.355901404113</v>
      </c>
    </row>
    <row r="44" spans="1:47" s="9" customFormat="1" ht="13.2" x14ac:dyDescent="0.25">
      <c r="A44" s="9" t="s">
        <v>209</v>
      </c>
      <c r="B44" s="9" t="s">
        <v>146</v>
      </c>
      <c r="C44" s="10">
        <f>G44-(D44+E44+F44)</f>
        <v>3436</v>
      </c>
      <c r="D44" s="12">
        <v>3014</v>
      </c>
      <c r="E44" s="12">
        <v>2953</v>
      </c>
      <c r="F44" s="12">
        <v>2384</v>
      </c>
      <c r="G44" s="12">
        <v>11787</v>
      </c>
      <c r="H44" s="12">
        <v>3940</v>
      </c>
      <c r="I44" s="12">
        <v>3230</v>
      </c>
      <c r="J44" s="12">
        <v>2910</v>
      </c>
      <c r="K44" s="12">
        <v>2600</v>
      </c>
      <c r="L44" s="10">
        <f t="shared" si="481"/>
        <v>12680</v>
      </c>
      <c r="M44" s="12">
        <v>3210</v>
      </c>
      <c r="N44" s="12">
        <v>3770</v>
      </c>
      <c r="O44" s="12">
        <v>3720</v>
      </c>
      <c r="P44" s="12">
        <v>2740</v>
      </c>
      <c r="Q44" s="10">
        <f t="shared" si="482"/>
        <v>13440</v>
      </c>
      <c r="R44" s="12">
        <v>3840</v>
      </c>
      <c r="S44" s="12">
        <v>3700</v>
      </c>
      <c r="T44" s="12">
        <v>3370</v>
      </c>
      <c r="U44" s="10">
        <f>IFERROR(U6*U45,"na")</f>
        <v>3493.4796118964682</v>
      </c>
      <c r="V44" s="10">
        <f t="shared" si="483"/>
        <v>14403.479611896468</v>
      </c>
      <c r="W44" s="10">
        <f t="shared" ref="W44:Z44" si="506">IFERROR(W6*W45,"na")</f>
        <v>3984.0431162349951</v>
      </c>
      <c r="X44" s="10">
        <f>IFERROR(X6*X45,"na")</f>
        <v>3759.0999060308741</v>
      </c>
      <c r="Y44" s="10">
        <f t="shared" si="506"/>
        <v>3922.6921291662784</v>
      </c>
      <c r="Z44" s="10">
        <f t="shared" si="506"/>
        <v>3781.8981346153382</v>
      </c>
      <c r="AA44" s="10">
        <f t="shared" si="485"/>
        <v>15447.733286047485</v>
      </c>
      <c r="AB44" s="10">
        <f t="shared" ref="AB44" si="507">IFERROR(AB6*AB45,"na")</f>
        <v>4280.9783296417054</v>
      </c>
      <c r="AC44" s="10">
        <f t="shared" ref="AC44" si="508">IFERROR(AC6*AC45,"na")</f>
        <v>4098.1165079234688</v>
      </c>
      <c r="AD44" s="10">
        <f t="shared" ref="AD44" si="509">IFERROR(AD6*AD45,"na")</f>
        <v>4307.8883489232712</v>
      </c>
      <c r="AE44" s="10">
        <f t="shared" ref="AE44" si="510">IFERROR(AE6*AE45,"na")</f>
        <v>4140.7581401170792</v>
      </c>
      <c r="AF44" s="10">
        <f t="shared" si="490"/>
        <v>16827.741326605526</v>
      </c>
      <c r="AG44" s="10">
        <f t="shared" ref="AG44" si="511">IFERROR(AG6*AG45,"na")</f>
        <v>4572.9919421603327</v>
      </c>
      <c r="AH44" s="10">
        <f t="shared" ref="AH44" si="512">IFERROR(AH6*AH45,"na")</f>
        <v>4381.6588497104149</v>
      </c>
      <c r="AI44" s="10">
        <f t="shared" ref="AI44" si="513">IFERROR(AI6*AI45,"na")</f>
        <v>4608.0510260419869</v>
      </c>
      <c r="AJ44" s="10">
        <f t="shared" ref="AJ44" si="514">IFERROR(AJ6*AJ45,"na")</f>
        <v>4429.4347936423483</v>
      </c>
      <c r="AK44" s="10">
        <f t="shared" si="495"/>
        <v>17992.136611555081</v>
      </c>
      <c r="AL44" s="10">
        <f t="shared" ref="AL44" si="515">IFERROR(AL6*AL45,"na")</f>
        <v>4890.7870682864614</v>
      </c>
      <c r="AM44" s="10">
        <f t="shared" ref="AM44" si="516">IFERROR(AM6*AM45,"na")</f>
        <v>4686.4253140019518</v>
      </c>
      <c r="AN44" s="10">
        <f t="shared" ref="AN44" si="517">IFERROR(AN6*AN45,"na")</f>
        <v>4928.7050516681029</v>
      </c>
      <c r="AO44" s="10">
        <f t="shared" ref="AO44" si="518">IFERROR(AO6*AO45,"na")</f>
        <v>4738.8354301589079</v>
      </c>
      <c r="AP44" s="10">
        <f t="shared" si="500"/>
        <v>19244.752864115424</v>
      </c>
      <c r="AQ44" s="10">
        <f t="shared" ref="AQ44" si="519">IFERROR(AQ6*AQ45,"na")</f>
        <v>5231.8924190626431</v>
      </c>
      <c r="AR44" s="10">
        <f t="shared" ref="AR44" si="520">IFERROR(AR6*AR45,"na")</f>
        <v>5013.2954703686728</v>
      </c>
      <c r="AS44" s="10">
        <f t="shared" ref="AS44" si="521">IFERROR(AS6*AS45,"na")</f>
        <v>5272.4832225162345</v>
      </c>
      <c r="AT44" s="10">
        <f t="shared" ref="AT44" si="522">IFERROR(AT6*AT45,"na")</f>
        <v>5070.6847894565617</v>
      </c>
      <c r="AU44" s="10">
        <f t="shared" si="505"/>
        <v>20588.355901404113</v>
      </c>
    </row>
    <row r="45" spans="1:47" s="21" customFormat="1" ht="13.2" x14ac:dyDescent="0.25">
      <c r="A45" s="34" t="s">
        <v>150</v>
      </c>
      <c r="B45" s="35" t="s">
        <v>145</v>
      </c>
      <c r="C45" s="29">
        <f t="shared" ref="C45:S45" si="523">IFERROR(C44/C6,"na")</f>
        <v>0.23382739237543043</v>
      </c>
      <c r="D45" s="29">
        <f t="shared" si="523"/>
        <v>0.22832295501719618</v>
      </c>
      <c r="E45" s="29">
        <f t="shared" si="523"/>
        <v>0.22052453923589327</v>
      </c>
      <c r="F45" s="29">
        <f t="shared" si="523"/>
        <v>0.19212636499173955</v>
      </c>
      <c r="G45" s="29">
        <f t="shared" si="523"/>
        <v>0.21951969009861344</v>
      </c>
      <c r="H45" s="29">
        <f t="shared" si="523"/>
        <v>0.25105615629201528</v>
      </c>
      <c r="I45" s="29">
        <f t="shared" si="523"/>
        <v>0.22783702951300716</v>
      </c>
      <c r="J45" s="29">
        <f t="shared" si="523"/>
        <v>0.21808371117023273</v>
      </c>
      <c r="K45" s="29">
        <f t="shared" si="523"/>
        <v>0.20071175476111439</v>
      </c>
      <c r="L45" s="29">
        <f t="shared" si="523"/>
        <v>0.22575171939844643</v>
      </c>
      <c r="M45" s="29">
        <f t="shared" si="523"/>
        <v>0.20995212306726316</v>
      </c>
      <c r="N45" s="29">
        <f t="shared" si="523"/>
        <v>0.24642616692921621</v>
      </c>
      <c r="O45" s="29">
        <f t="shared" si="523"/>
        <v>0.24110441376628428</v>
      </c>
      <c r="P45" s="29">
        <f t="shared" si="523"/>
        <v>0.18447327493923826</v>
      </c>
      <c r="Q45" s="29">
        <f t="shared" si="523"/>
        <v>0.22079842286840809</v>
      </c>
      <c r="R45" s="29">
        <f t="shared" si="523"/>
        <v>0.20937041661441494</v>
      </c>
      <c r="S45" s="29">
        <f t="shared" si="523"/>
        <v>0.21053350327749451</v>
      </c>
      <c r="T45" s="29">
        <f>IFERROR(T44/T6,"na")</f>
        <v>0.18232970838067414</v>
      </c>
      <c r="U45" s="36">
        <f>MEDIAN(P45,R45:T45)</f>
        <v>0.19692184577682659</v>
      </c>
      <c r="V45" s="29">
        <f t="shared" ref="V45" si="524">IFERROR(V44/V6,"na")</f>
        <v>0.19966414897971807</v>
      </c>
      <c r="W45" s="36">
        <f>MEDIAN(R45:U45)</f>
        <v>0.20314613119562075</v>
      </c>
      <c r="X45" s="36">
        <f>MEDIAN(S45:U45,W45)</f>
        <v>0.20003398848622367</v>
      </c>
      <c r="Y45" s="36">
        <f>MEDIAN(T45:U45,W45:X45)</f>
        <v>0.19847791713152513</v>
      </c>
      <c r="Z45" s="36">
        <f t="shared" ref="Z45" si="525">MEDIAN(U45,W45:Y45)</f>
        <v>0.1992559528088744</v>
      </c>
      <c r="AA45" s="29">
        <f t="shared" ref="AA45" si="526">IFERROR(AA44/AA6,"na")</f>
        <v>0.20023507280783656</v>
      </c>
      <c r="AB45" s="36">
        <f>MEDIAN(W45:Z45)</f>
        <v>0.19964497064754905</v>
      </c>
      <c r="AC45" s="36">
        <f>MEDIAN(X45:Z45,AB45)</f>
        <v>0.19945046172821174</v>
      </c>
      <c r="AD45" s="36">
        <f>MEDIAN(Y45:Z45,AB45:AC45)</f>
        <v>0.19935320726854305</v>
      </c>
      <c r="AE45" s="36">
        <f t="shared" ref="AE45" si="527">MEDIAN(Z45,AB45:AD45)</f>
        <v>0.19940183449837739</v>
      </c>
      <c r="AF45" s="29">
        <f t="shared" ref="AF45" si="528">IFERROR(AF44/AF6,"na")</f>
        <v>0.19946301968577476</v>
      </c>
      <c r="AG45" s="36">
        <f t="shared" ref="AG45" si="529">MEDIAN(AB45:AE45)</f>
        <v>0.19942614811329457</v>
      </c>
      <c r="AH45" s="36">
        <f t="shared" ref="AH45" si="530">MEDIAN(AC45:AE45,AG45)</f>
        <v>0.19941399130583598</v>
      </c>
      <c r="AI45" s="36">
        <f t="shared" ref="AI45" si="531">MEDIAN(AD45:AE45,AG45:AH45)</f>
        <v>0.19940791290210669</v>
      </c>
      <c r="AJ45" s="36">
        <f t="shared" ref="AJ45" si="532">MEDIAN(AE45,AG45:AI45)</f>
        <v>0.19941095210397133</v>
      </c>
      <c r="AK45" s="29">
        <f t="shared" ref="AK45" si="533">IFERROR(AK44/AK6,"na")</f>
        <v>0.19941477592911433</v>
      </c>
      <c r="AL45" s="36">
        <f t="shared" ref="AL45" si="534">MEDIAN(AG45:AJ45)</f>
        <v>0.19941247170490367</v>
      </c>
      <c r="AM45" s="36">
        <f t="shared" ref="AM45" si="535">MEDIAN(AH45:AJ45,AL45)</f>
        <v>0.19941171190443752</v>
      </c>
      <c r="AN45" s="36">
        <f t="shared" ref="AN45" si="536">MEDIAN(AI45:AJ45,AL45:AM45)</f>
        <v>0.19941133200420441</v>
      </c>
      <c r="AO45" s="36">
        <f t="shared" ref="AO45" si="537">MEDIAN(AJ45,AL45:AN45)</f>
        <v>0.19941152195432096</v>
      </c>
      <c r="AP45" s="29">
        <f t="shared" ref="AP45" si="538">IFERROR(AP44/AP6,"na")</f>
        <v>0.19941176092795107</v>
      </c>
      <c r="AQ45" s="36">
        <f t="shared" ref="AQ45" si="539">MEDIAN(AL45:AO45)</f>
        <v>0.19941161692937925</v>
      </c>
      <c r="AR45" s="36">
        <f t="shared" ref="AR45" si="540">MEDIAN(AM45:AO45,AQ45)</f>
        <v>0.19941156944185012</v>
      </c>
      <c r="AS45" s="36">
        <f t="shared" ref="AS45" si="541">MEDIAN(AN45:AO45,AQ45:AR45)</f>
        <v>0.19941154569808556</v>
      </c>
      <c r="AT45" s="36">
        <f t="shared" ref="AT45" si="542">MEDIAN(AO45,AQ45:AS45)</f>
        <v>0.19941155756996784</v>
      </c>
      <c r="AU45" s="29">
        <f t="shared" ref="AU45" si="543">IFERROR(AU44/AU6,"na")</f>
        <v>0.19941157250486274</v>
      </c>
    </row>
    <row r="46" spans="1:47" s="9" customFormat="1" ht="13.2" x14ac:dyDescent="0.25">
      <c r="A46" s="9" t="s">
        <v>199</v>
      </c>
      <c r="B46" s="9" t="s">
        <v>146</v>
      </c>
      <c r="C46" s="10">
        <f t="shared" ref="C46" si="544">C43-C44</f>
        <v>0.8999999999996362</v>
      </c>
      <c r="D46" s="10">
        <f t="shared" ref="D46" si="545">D43-D44</f>
        <v>-9.9999999999909051E-2</v>
      </c>
      <c r="E46" s="10">
        <f t="shared" ref="E46" si="546">E43-E44</f>
        <v>-0.3999999999996362</v>
      </c>
      <c r="F46" s="10">
        <f t="shared" ref="F46" si="547">F43-F44</f>
        <v>-0.3000000000001819</v>
      </c>
      <c r="G46" s="10">
        <f t="shared" ref="G46" si="548">C46+D46+E46+F46</f>
        <v>9.9999999999909051E-2</v>
      </c>
      <c r="H46" s="10">
        <f t="shared" ref="H46" si="549">H43-H44</f>
        <v>3.3000000000006366</v>
      </c>
      <c r="I46" s="10">
        <f t="shared" ref="I46" si="550">I43-I44</f>
        <v>-4.5999999999999091</v>
      </c>
      <c r="J46" s="10">
        <f t="shared" ref="J46" si="551">J43-J44</f>
        <v>-1.2000000000016371</v>
      </c>
      <c r="K46" s="10">
        <f t="shared" ref="K46" si="552">K43-K44</f>
        <v>-21.499999999997726</v>
      </c>
      <c r="L46" s="10">
        <f t="shared" ref="L46" si="553">H46+I46+J46+K46</f>
        <v>-23.999999999998636</v>
      </c>
      <c r="M46" s="10">
        <f t="shared" ref="M46:P46" si="554">M43-M44</f>
        <v>-0.19999999999845386</v>
      </c>
      <c r="N46" s="10">
        <f t="shared" si="554"/>
        <v>-9.3999999999996362</v>
      </c>
      <c r="O46" s="10">
        <f t="shared" si="554"/>
        <v>-17.500000000001819</v>
      </c>
      <c r="P46" s="10">
        <f t="shared" si="554"/>
        <v>-0.69999999999936335</v>
      </c>
      <c r="Q46" s="10">
        <f t="shared" si="482"/>
        <v>-27.799999999999272</v>
      </c>
      <c r="R46" s="10">
        <f>R43-R44</f>
        <v>-23.399999999998727</v>
      </c>
      <c r="S46" s="10">
        <f t="shared" ref="S46:T46" si="555">S43-S44</f>
        <v>-51.599999999997181</v>
      </c>
      <c r="T46" s="10">
        <f t="shared" si="555"/>
        <v>-2.5000000000013642</v>
      </c>
      <c r="U46" s="39">
        <v>-2</v>
      </c>
      <c r="V46" s="10">
        <f t="shared" ref="V46" si="556">R46+S46+T46+U46</f>
        <v>-79.499999999997272</v>
      </c>
      <c r="W46" s="39">
        <v>-2</v>
      </c>
      <c r="X46" s="39">
        <f>W46</f>
        <v>-2</v>
      </c>
      <c r="Y46" s="39">
        <f t="shared" ref="Y46:Z46" si="557">X46</f>
        <v>-2</v>
      </c>
      <c r="Z46" s="39">
        <f t="shared" si="557"/>
        <v>-2</v>
      </c>
      <c r="AA46" s="10">
        <f t="shared" ref="AA46" si="558">W46+X46+Y46+Z46</f>
        <v>-8</v>
      </c>
      <c r="AB46" s="39">
        <v>-2</v>
      </c>
      <c r="AC46" s="39">
        <f t="shared" ref="AC46:AT46" si="559">AB46</f>
        <v>-2</v>
      </c>
      <c r="AD46" s="39">
        <f t="shared" si="559"/>
        <v>-2</v>
      </c>
      <c r="AE46" s="39">
        <f t="shared" si="559"/>
        <v>-2</v>
      </c>
      <c r="AF46" s="10">
        <f t="shared" ref="AF46" si="560">AB46+AC46+AD46+AE46</f>
        <v>-8</v>
      </c>
      <c r="AG46" s="39">
        <v>-2</v>
      </c>
      <c r="AH46" s="39">
        <f t="shared" ref="AH46" si="561">AG46</f>
        <v>-2</v>
      </c>
      <c r="AI46" s="39">
        <f t="shared" si="559"/>
        <v>-2</v>
      </c>
      <c r="AJ46" s="39">
        <f t="shared" si="559"/>
        <v>-2</v>
      </c>
      <c r="AK46" s="10">
        <f t="shared" ref="AK46" si="562">AG46+AH46+AI46+AJ46</f>
        <v>-8</v>
      </c>
      <c r="AL46" s="39">
        <v>-2</v>
      </c>
      <c r="AM46" s="39">
        <f t="shared" ref="AM46" si="563">AL46</f>
        <v>-2</v>
      </c>
      <c r="AN46" s="39">
        <f t="shared" si="559"/>
        <v>-2</v>
      </c>
      <c r="AO46" s="39">
        <f t="shared" si="559"/>
        <v>-2</v>
      </c>
      <c r="AP46" s="10">
        <f t="shared" ref="AP46" si="564">AL46+AM46+AN46+AO46</f>
        <v>-8</v>
      </c>
      <c r="AQ46" s="39">
        <v>-2</v>
      </c>
      <c r="AR46" s="39">
        <f t="shared" ref="AR46" si="565">AQ46</f>
        <v>-2</v>
      </c>
      <c r="AS46" s="39">
        <f t="shared" si="559"/>
        <v>-2</v>
      </c>
      <c r="AT46" s="39">
        <f t="shared" si="559"/>
        <v>-2</v>
      </c>
      <c r="AU46" s="10">
        <f t="shared" ref="AU46" si="566">AQ46+AR46+AS46+AT46</f>
        <v>-8</v>
      </c>
    </row>
    <row r="47" spans="1:47" s="9" customFormat="1" ht="13.2" x14ac:dyDescent="0.25"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</row>
    <row r="48" spans="1:47" x14ac:dyDescent="0.3"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</row>
    <row r="49" spans="3:47" x14ac:dyDescent="0.3"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</row>
    <row r="50" spans="3:47" x14ac:dyDescent="0.3"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</row>
    <row r="51" spans="3:47" x14ac:dyDescent="0.3"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</row>
    <row r="52" spans="3:47" x14ac:dyDescent="0.3"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</row>
    <row r="53" spans="3:47" x14ac:dyDescent="0.3"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</row>
    <row r="54" spans="3:47" x14ac:dyDescent="0.3"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</row>
    <row r="55" spans="3:47" x14ac:dyDescent="0.3"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</row>
    <row r="56" spans="3:47" x14ac:dyDescent="0.3"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</row>
    <row r="57" spans="3:47" x14ac:dyDescent="0.3"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showGridLines="0" zoomScale="80" zoomScaleNormal="85" workbookViewId="0">
      <selection activeCell="A24" sqref="A24"/>
    </sheetView>
  </sheetViews>
  <sheetFormatPr defaultRowHeight="14.4" x14ac:dyDescent="0.3"/>
  <cols>
    <col min="1" max="1" width="26.88671875" bestFit="1" customWidth="1"/>
    <col min="2" max="7" width="9" bestFit="1" customWidth="1"/>
    <col min="8" max="8" width="9.109375" bestFit="1" customWidth="1"/>
    <col min="9" max="11" width="9" bestFit="1" customWidth="1"/>
    <col min="12" max="12" width="10.77734375" customWidth="1"/>
    <col min="13" max="14" width="9" bestFit="1" customWidth="1"/>
    <col min="15" max="15" width="9.109375" bestFit="1" customWidth="1"/>
    <col min="16" max="16" width="9" bestFit="1" customWidth="1"/>
  </cols>
  <sheetData>
    <row r="1" spans="1:16" x14ac:dyDescent="0.3">
      <c r="A1" s="85" t="s">
        <v>228</v>
      </c>
      <c r="B1" s="86"/>
      <c r="C1" s="87" t="str">
        <f>Summary!C1</f>
        <v>FY2016</v>
      </c>
      <c r="D1" s="88" t="str">
        <f>Summary!D1</f>
        <v>FY2017</v>
      </c>
      <c r="E1" s="87" t="str">
        <f>Summary!E1</f>
        <v>FY2018</v>
      </c>
      <c r="F1" s="89" t="str">
        <f>Summary!F1</f>
        <v>FY2019</v>
      </c>
      <c r="G1" s="89" t="str">
        <f>Summary!G1</f>
        <v>FY2020</v>
      </c>
      <c r="H1" s="89" t="str">
        <f>Summary!H1</f>
        <v>FY2021</v>
      </c>
      <c r="I1" s="89" t="str">
        <f>Summary!I1</f>
        <v>FY2022</v>
      </c>
      <c r="J1" s="89" t="str">
        <f>Summary!J1</f>
        <v>FY2023</v>
      </c>
      <c r="K1" s="89" t="str">
        <f>Summary!K1</f>
        <v>FY2024</v>
      </c>
      <c r="L1" s="89" t="s">
        <v>187</v>
      </c>
      <c r="M1" s="89" t="s">
        <v>200</v>
      </c>
      <c r="N1" s="89" t="s">
        <v>201</v>
      </c>
      <c r="O1" s="89" t="s">
        <v>202</v>
      </c>
      <c r="P1" s="90" t="s">
        <v>203</v>
      </c>
    </row>
    <row r="2" spans="1:16" x14ac:dyDescent="0.3">
      <c r="A2" s="91"/>
      <c r="B2" s="92"/>
      <c r="C2" s="1" t="str">
        <f>Summary!C2</f>
        <v>A</v>
      </c>
      <c r="D2" s="1" t="str">
        <f>Summary!D2</f>
        <v>A</v>
      </c>
      <c r="E2" s="1" t="str">
        <f>Summary!E2</f>
        <v>A</v>
      </c>
      <c r="F2" s="2" t="str">
        <f>Summary!F2</f>
        <v>F</v>
      </c>
      <c r="G2" s="2" t="str">
        <f>Summary!G2</f>
        <v>F</v>
      </c>
      <c r="H2" s="2" t="str">
        <f>Summary!H2</f>
        <v>F</v>
      </c>
      <c r="I2" s="2" t="str">
        <f>Summary!I2</f>
        <v>F</v>
      </c>
      <c r="J2" s="2" t="str">
        <f>Summary!J2</f>
        <v>F</v>
      </c>
      <c r="K2" s="2" t="str">
        <f>Summary!K2</f>
        <v>F</v>
      </c>
      <c r="L2" s="2" t="str">
        <f>K2</f>
        <v>F</v>
      </c>
      <c r="M2" s="2" t="str">
        <f t="shared" ref="M2:P2" si="0">L2</f>
        <v>F</v>
      </c>
      <c r="N2" s="2" t="str">
        <f t="shared" si="0"/>
        <v>F</v>
      </c>
      <c r="O2" s="2" t="str">
        <f t="shared" si="0"/>
        <v>F</v>
      </c>
      <c r="P2" s="93" t="str">
        <f t="shared" si="0"/>
        <v>F</v>
      </c>
    </row>
    <row r="3" spans="1:16" x14ac:dyDescent="0.3">
      <c r="A3" s="55"/>
      <c r="P3" s="56"/>
    </row>
    <row r="4" spans="1:16" x14ac:dyDescent="0.3">
      <c r="A4" s="55" t="s">
        <v>48</v>
      </c>
      <c r="C4" s="44">
        <f>Summary!C6</f>
        <v>53694.5</v>
      </c>
      <c r="D4" s="44">
        <f>Summary!D6</f>
        <v>56167.899999999994</v>
      </c>
      <c r="E4" s="44">
        <f>Summary!E6</f>
        <v>60870</v>
      </c>
      <c r="F4" s="44">
        <f>Summary!F6</f>
        <v>72138.537065858414</v>
      </c>
      <c r="G4" s="44">
        <f>Summary!G6</f>
        <v>77147.989457733551</v>
      </c>
      <c r="H4" s="44">
        <f>Summary!H6</f>
        <v>84365.218941913161</v>
      </c>
      <c r="I4" s="44">
        <f>Summary!I6</f>
        <v>90224.691363646591</v>
      </c>
      <c r="J4" s="44">
        <f>Summary!J6</f>
        <v>96507.612061400418</v>
      </c>
      <c r="K4" s="44">
        <f>Summary!K6</f>
        <v>103245.54208558812</v>
      </c>
      <c r="L4" s="44">
        <f>IFERROR((K4*(1+L5)),"na")</f>
        <v>110354.41904405822</v>
      </c>
      <c r="M4" s="44">
        <f t="shared" ref="M4:P4" si="1">IFERROR((L4*(1+M5)),"na")</f>
        <v>117846.44246692285</v>
      </c>
      <c r="N4" s="44">
        <f t="shared" si="1"/>
        <v>125733.55611798393</v>
      </c>
      <c r="O4" s="44">
        <f t="shared" si="1"/>
        <v>134027.38410550487</v>
      </c>
      <c r="P4" s="65">
        <f t="shared" si="1"/>
        <v>142739.16407236268</v>
      </c>
    </row>
    <row r="5" spans="1:16" s="52" customFormat="1" x14ac:dyDescent="0.3">
      <c r="A5" s="94" t="s">
        <v>144</v>
      </c>
      <c r="C5" s="95" t="s">
        <v>147</v>
      </c>
      <c r="D5" s="96">
        <f>IFERROR(D4/C4-1,"na")</f>
        <v>4.6064308262484976E-2</v>
      </c>
      <c r="E5" s="96">
        <f t="shared" ref="E5:K5" si="2">IFERROR(E4/D4-1,"na")</f>
        <v>8.3715075692700092E-2</v>
      </c>
      <c r="F5" s="96">
        <f t="shared" si="2"/>
        <v>0.18512464376307558</v>
      </c>
      <c r="G5" s="96">
        <f t="shared" si="2"/>
        <v>6.9442112297090075E-2</v>
      </c>
      <c r="H5" s="96">
        <f t="shared" si="2"/>
        <v>9.3550454586164733E-2</v>
      </c>
      <c r="I5" s="96">
        <f t="shared" si="2"/>
        <v>6.9453650393152877E-2</v>
      </c>
      <c r="J5" s="96">
        <f t="shared" si="2"/>
        <v>6.9636377833987684E-2</v>
      </c>
      <c r="K5" s="96">
        <f t="shared" si="2"/>
        <v>6.9817601744211366E-2</v>
      </c>
      <c r="L5" s="97">
        <f>K5+($B$32-$K$5)/5</f>
        <v>6.8854081395369096E-2</v>
      </c>
      <c r="M5" s="97">
        <f t="shared" ref="M5:P5" si="3">L5+($B$32-$K$5)/5</f>
        <v>6.7890561046526826E-2</v>
      </c>
      <c r="N5" s="97">
        <f t="shared" si="3"/>
        <v>6.6927040697684556E-2</v>
      </c>
      <c r="O5" s="97">
        <f t="shared" si="3"/>
        <v>6.5963520348842286E-2</v>
      </c>
      <c r="P5" s="98">
        <f t="shared" si="3"/>
        <v>6.5000000000000016E-2</v>
      </c>
    </row>
    <row r="6" spans="1:16" x14ac:dyDescent="0.3">
      <c r="A6" s="55" t="s">
        <v>60</v>
      </c>
      <c r="C6" s="44">
        <f>Summary!C9</f>
        <v>10455.799999999999</v>
      </c>
      <c r="D6" s="44">
        <f>Summary!D9</f>
        <v>11504.599999999991</v>
      </c>
      <c r="E6" s="44">
        <f>Summary!E9</f>
        <v>12213.400000000003</v>
      </c>
      <c r="F6" s="44">
        <f>Summary!F9</f>
        <v>13062.090889256064</v>
      </c>
      <c r="G6" s="44">
        <f>Summary!G9</f>
        <v>14139.303133200661</v>
      </c>
      <c r="H6" s="44">
        <f>Summary!H9</f>
        <v>15447.22275100373</v>
      </c>
      <c r="I6" s="44">
        <f>Summary!I9</f>
        <v>16546.53982940425</v>
      </c>
      <c r="J6" s="44">
        <f>Summary!J9</f>
        <v>17739.964460266387</v>
      </c>
      <c r="K6" s="44">
        <f>Summary!K9</f>
        <v>19020.737310962595</v>
      </c>
      <c r="L6" s="44">
        <f>IFERROR(L4*L7,"na")</f>
        <v>22070.883808811646</v>
      </c>
      <c r="M6" s="44">
        <f t="shared" ref="M6:P6" si="4">IFERROR(M4*M7,"na")</f>
        <v>23569.288493384571</v>
      </c>
      <c r="N6" s="44">
        <f t="shared" si="4"/>
        <v>25146.711223596787</v>
      </c>
      <c r="O6" s="44">
        <f t="shared" si="4"/>
        <v>26805.476821100976</v>
      </c>
      <c r="P6" s="65">
        <f t="shared" si="4"/>
        <v>28547.832814472538</v>
      </c>
    </row>
    <row r="7" spans="1:16" s="52" customFormat="1" x14ac:dyDescent="0.3">
      <c r="A7" s="94" t="s">
        <v>151</v>
      </c>
      <c r="C7" s="96">
        <f>IFERROR(C6/C4,"na")</f>
        <v>0.19472757917477579</v>
      </c>
      <c r="D7" s="96">
        <f t="shared" ref="D7:K7" si="5">IFERROR(D6/D4,"na")</f>
        <v>0.20482517594569127</v>
      </c>
      <c r="E7" s="96">
        <f t="shared" si="5"/>
        <v>0.20064728109084939</v>
      </c>
      <c r="F7" s="96">
        <f t="shared" si="5"/>
        <v>0.181069528445401</v>
      </c>
      <c r="G7" s="96">
        <f t="shared" si="5"/>
        <v>0.18327506954600609</v>
      </c>
      <c r="H7" s="96">
        <f t="shared" si="5"/>
        <v>0.18309942112091709</v>
      </c>
      <c r="I7" s="96">
        <f t="shared" si="5"/>
        <v>0.18339258998087518</v>
      </c>
      <c r="J7" s="96">
        <f t="shared" si="5"/>
        <v>0.18381932866580311</v>
      </c>
      <c r="K7" s="96">
        <f t="shared" si="5"/>
        <v>0.18422817030874661</v>
      </c>
      <c r="L7" s="97">
        <v>0.2</v>
      </c>
      <c r="M7" s="97">
        <f t="shared" ref="M7:P7" si="6">L7</f>
        <v>0.2</v>
      </c>
      <c r="N7" s="97">
        <f t="shared" si="6"/>
        <v>0.2</v>
      </c>
      <c r="O7" s="97">
        <f t="shared" si="6"/>
        <v>0.2</v>
      </c>
      <c r="P7" s="98">
        <f t="shared" si="6"/>
        <v>0.2</v>
      </c>
    </row>
    <row r="8" spans="1:16" x14ac:dyDescent="0.3">
      <c r="A8" s="55" t="s">
        <v>59</v>
      </c>
      <c r="C8" s="44">
        <f>-Financials!G27</f>
        <v>1331.3</v>
      </c>
      <c r="D8" s="44">
        <f>-Financials!L27</f>
        <v>1151.4000000000001</v>
      </c>
      <c r="E8" s="44">
        <f>-Financials!Q27</f>
        <v>1198.8</v>
      </c>
      <c r="F8" s="44">
        <f>-Financials!V27</f>
        <v>1261.8887226404051</v>
      </c>
      <c r="G8" s="44">
        <f>-Financials!AA27</f>
        <v>1300.4301528468234</v>
      </c>
      <c r="H8" s="44">
        <f>-Financials!AF27</f>
        <v>1372.518575601797</v>
      </c>
      <c r="I8" s="44">
        <f>-Financials!AK27</f>
        <v>1437.5967821508307</v>
      </c>
      <c r="J8" s="44">
        <f>-Financials!AP27</f>
        <v>1496.7884038490388</v>
      </c>
      <c r="K8" s="44">
        <f>-Financials!AU27</f>
        <v>1559.6185904415188</v>
      </c>
      <c r="L8" s="44">
        <f>IFERROR(L4*L9,"na")</f>
        <v>1667.0046958135099</v>
      </c>
      <c r="M8" s="44">
        <f t="shared" ref="M8:P8" si="7">IFERROR(M4*M9,"na")</f>
        <v>1780.1785798794838</v>
      </c>
      <c r="N8" s="44">
        <f t="shared" si="7"/>
        <v>1899.3206641442243</v>
      </c>
      <c r="O8" s="44">
        <f t="shared" si="7"/>
        <v>2024.6065414224786</v>
      </c>
      <c r="P8" s="65">
        <f t="shared" si="7"/>
        <v>2156.2059666149394</v>
      </c>
    </row>
    <row r="9" spans="1:16" s="52" customFormat="1" x14ac:dyDescent="0.3">
      <c r="A9" s="94" t="s">
        <v>148</v>
      </c>
      <c r="C9" s="96">
        <f>IFERROR(C8/C4,"na")</f>
        <v>2.4793973311977947E-2</v>
      </c>
      <c r="D9" s="96">
        <f t="shared" ref="D9:K9" si="8">IFERROR(D8/D4,"na")</f>
        <v>2.0499253132127072E-2</v>
      </c>
      <c r="E9" s="96">
        <f t="shared" si="8"/>
        <v>1.9694430754066041E-2</v>
      </c>
      <c r="F9" s="96">
        <f t="shared" si="8"/>
        <v>1.7492574343285779E-2</v>
      </c>
      <c r="G9" s="96">
        <f t="shared" si="8"/>
        <v>1.6856306457075976E-2</v>
      </c>
      <c r="H9" s="96">
        <f t="shared" si="8"/>
        <v>1.6268772757489062E-2</v>
      </c>
      <c r="I9" s="96">
        <f t="shared" si="8"/>
        <v>1.5933518424093698E-2</v>
      </c>
      <c r="J9" s="96">
        <f t="shared" si="8"/>
        <v>1.5509537246624098E-2</v>
      </c>
      <c r="K9" s="96">
        <f t="shared" si="8"/>
        <v>1.510591701042774E-2</v>
      </c>
      <c r="L9" s="97">
        <f>K9</f>
        <v>1.510591701042774E-2</v>
      </c>
      <c r="M9" s="97">
        <f t="shared" ref="M9:P9" si="9">L9</f>
        <v>1.510591701042774E-2</v>
      </c>
      <c r="N9" s="97">
        <f t="shared" si="9"/>
        <v>1.510591701042774E-2</v>
      </c>
      <c r="O9" s="97">
        <f t="shared" si="9"/>
        <v>1.510591701042774E-2</v>
      </c>
      <c r="P9" s="98">
        <f t="shared" si="9"/>
        <v>1.510591701042774E-2</v>
      </c>
    </row>
    <row r="10" spans="1:16" x14ac:dyDescent="0.3">
      <c r="A10" s="55" t="s">
        <v>184</v>
      </c>
      <c r="C10" s="44">
        <f>-C6*C11</f>
        <v>-3114.3475596900375</v>
      </c>
      <c r="D10" s="44">
        <f t="shared" ref="D10:K10" si="10">-D6*D11</f>
        <v>-3530.2634718450327</v>
      </c>
      <c r="E10" s="44">
        <f t="shared" si="10"/>
        <v>-3362.3702325581394</v>
      </c>
      <c r="F10" s="44">
        <f t="shared" si="10"/>
        <v>-4357.5258246536578</v>
      </c>
      <c r="G10" s="44">
        <f t="shared" si="10"/>
        <v>-4241.7909399601986</v>
      </c>
      <c r="H10" s="44">
        <f t="shared" si="10"/>
        <v>-4634.1668253011185</v>
      </c>
      <c r="I10" s="44">
        <f t="shared" si="10"/>
        <v>-4963.9619488212766</v>
      </c>
      <c r="J10" s="44">
        <f t="shared" si="10"/>
        <v>-5321.9893380799158</v>
      </c>
      <c r="K10" s="44">
        <f t="shared" si="10"/>
        <v>-5706.2211932887785</v>
      </c>
      <c r="L10" s="44">
        <f t="shared" ref="L10" si="11">-L6*L11</f>
        <v>-6621.2651426434941</v>
      </c>
      <c r="M10" s="44">
        <f t="shared" ref="M10" si="12">-M6*M11</f>
        <v>-7070.7865480153714</v>
      </c>
      <c r="N10" s="44">
        <f t="shared" ref="N10" si="13">-N6*N11</f>
        <v>-7544.0133670790356</v>
      </c>
      <c r="O10" s="44">
        <f t="shared" ref="O10" si="14">-O6*O11</f>
        <v>-8041.6430463302922</v>
      </c>
      <c r="P10" s="65">
        <f t="shared" ref="P10" si="15">-P6*P11</f>
        <v>-8564.3498443417611</v>
      </c>
    </row>
    <row r="11" spans="1:16" s="52" customFormat="1" x14ac:dyDescent="0.3">
      <c r="A11" s="94" t="s">
        <v>224</v>
      </c>
      <c r="C11" s="96">
        <f>Financials!G42</f>
        <v>0.29785837140056598</v>
      </c>
      <c r="D11" s="96">
        <f>Financials!L42</f>
        <v>0.3068566896584875</v>
      </c>
      <c r="E11" s="96">
        <f>Financials!Q42</f>
        <v>0.27530173682661163</v>
      </c>
      <c r="F11" s="96">
        <f>Financials!V42</f>
        <v>0.33360094196235041</v>
      </c>
      <c r="G11" s="96">
        <f>Financials!AA42</f>
        <v>0.3</v>
      </c>
      <c r="H11" s="96">
        <f>Financials!AF42</f>
        <v>0.3</v>
      </c>
      <c r="I11" s="96">
        <f>Financials!AK42</f>
        <v>0.3000000000000001</v>
      </c>
      <c r="J11" s="96">
        <f>Financials!AP42</f>
        <v>0.3</v>
      </c>
      <c r="K11" s="96">
        <f>Financials!AU42</f>
        <v>0.3</v>
      </c>
      <c r="L11" s="97">
        <f>K11</f>
        <v>0.3</v>
      </c>
      <c r="M11" s="97">
        <f t="shared" ref="M11:P11" si="16">L11</f>
        <v>0.3</v>
      </c>
      <c r="N11" s="97">
        <f t="shared" si="16"/>
        <v>0.3</v>
      </c>
      <c r="O11" s="97">
        <f t="shared" si="16"/>
        <v>0.3</v>
      </c>
      <c r="P11" s="98">
        <f t="shared" si="16"/>
        <v>0.3</v>
      </c>
    </row>
    <row r="12" spans="1:16" s="43" customFormat="1" x14ac:dyDescent="0.3">
      <c r="A12" s="57" t="s">
        <v>225</v>
      </c>
      <c r="C12" s="99">
        <f>C6+C8+C10</f>
        <v>8672.7524403099615</v>
      </c>
      <c r="D12" s="99">
        <f t="shared" ref="D12:P12" si="17">D6+D8+D10</f>
        <v>9125.7365281549573</v>
      </c>
      <c r="E12" s="99">
        <f t="shared" si="17"/>
        <v>10049.829767441863</v>
      </c>
      <c r="F12" s="99">
        <f t="shared" si="17"/>
        <v>9966.4537872428118</v>
      </c>
      <c r="G12" s="99">
        <f t="shared" si="17"/>
        <v>11197.942346087286</v>
      </c>
      <c r="H12" s="99">
        <f t="shared" si="17"/>
        <v>12185.574501304407</v>
      </c>
      <c r="I12" s="99">
        <f t="shared" si="17"/>
        <v>13020.174662733803</v>
      </c>
      <c r="J12" s="99">
        <f t="shared" si="17"/>
        <v>13914.763526035509</v>
      </c>
      <c r="K12" s="99">
        <f t="shared" si="17"/>
        <v>14874.134708115334</v>
      </c>
      <c r="L12" s="99">
        <f t="shared" si="17"/>
        <v>17116.623361981663</v>
      </c>
      <c r="M12" s="99">
        <f t="shared" si="17"/>
        <v>18278.680525248685</v>
      </c>
      <c r="N12" s="99">
        <f t="shared" si="17"/>
        <v>19502.018520661975</v>
      </c>
      <c r="O12" s="99">
        <f t="shared" si="17"/>
        <v>20788.440316193162</v>
      </c>
      <c r="P12" s="66">
        <f t="shared" si="17"/>
        <v>22139.688936745719</v>
      </c>
    </row>
    <row r="13" spans="1:16" x14ac:dyDescent="0.3">
      <c r="A13" s="55"/>
      <c r="P13" s="56"/>
    </row>
    <row r="14" spans="1:16" x14ac:dyDescent="0.3">
      <c r="A14" s="55" t="s">
        <v>227</v>
      </c>
      <c r="C14" s="44"/>
      <c r="D14" s="44">
        <f>D15-C15</f>
        <v>1158.7000000000025</v>
      </c>
      <c r="E14" s="44">
        <f t="shared" ref="E14:P14" si="18">E15-D15</f>
        <v>2229.9999999999982</v>
      </c>
      <c r="F14" s="44">
        <f t="shared" si="18"/>
        <v>-168.88630375147659</v>
      </c>
      <c r="G14" s="44">
        <f t="shared" si="18"/>
        <v>794.96035508465866</v>
      </c>
      <c r="H14" s="44">
        <f t="shared" si="18"/>
        <v>1277.5495551291424</v>
      </c>
      <c r="I14" s="44">
        <f t="shared" si="18"/>
        <v>346.29078311204103</v>
      </c>
      <c r="J14" s="44">
        <f t="shared" si="18"/>
        <v>940.31354830664532</v>
      </c>
      <c r="K14" s="44">
        <f t="shared" si="18"/>
        <v>862.1127999477103</v>
      </c>
      <c r="L14" s="44">
        <f t="shared" si="18"/>
        <v>924.52032667767526</v>
      </c>
      <c r="M14" s="44">
        <f t="shared" si="18"/>
        <v>974.3491106750389</v>
      </c>
      <c r="N14" s="44">
        <f t="shared" si="18"/>
        <v>1025.7311994315642</v>
      </c>
      <c r="O14" s="44">
        <f t="shared" si="18"/>
        <v>1078.6250212553277</v>
      </c>
      <c r="P14" s="65">
        <f t="shared" si="18"/>
        <v>1132.9803157314382</v>
      </c>
    </row>
    <row r="15" spans="1:16" x14ac:dyDescent="0.3">
      <c r="A15" s="55" t="s">
        <v>226</v>
      </c>
      <c r="C15" s="44">
        <f>Financials!G69+Financials!G71+Financials!G73-Financials!G101-Financials!G105</f>
        <v>5986.1999999999989</v>
      </c>
      <c r="D15" s="44">
        <f>Financials!L69+Financials!L71+Financials!L73-Financials!L101-Financials!L105</f>
        <v>7144.9000000000015</v>
      </c>
      <c r="E15" s="44">
        <f>Financials!Q69+Financials!Q71+Financials!Q73-Financials!Q101-Financials!Q105</f>
        <v>9374.9</v>
      </c>
      <c r="F15" s="44">
        <f>Financials!V69+Financials!V71+Financials!V73-Financials!V101-Financials!V105</f>
        <v>9206.013696248523</v>
      </c>
      <c r="G15" s="44">
        <f>Financials!AA69+Financials!AA71+Financials!AA73-Financials!AA101-Financials!AA105</f>
        <v>10000.974051333182</v>
      </c>
      <c r="H15" s="44">
        <f>Financials!AF69+Financials!AF71+Financials!AF73-Financials!AF101-Financials!AF105</f>
        <v>11278.523606462324</v>
      </c>
      <c r="I15" s="44">
        <f>Financials!AK69+Financials!AK71+Financials!AK73-Financials!AK101-Financials!AK105</f>
        <v>11624.814389574365</v>
      </c>
      <c r="J15" s="44">
        <f>Financials!AP69+Financials!AP71+Financials!AP73-Financials!AP101-Financials!AP105</f>
        <v>12565.12793788101</v>
      </c>
      <c r="K15" s="44">
        <f>Financials!AU69+Financials!AU71+Financials!AU73-Financials!AU101-Financials!AU105</f>
        <v>13427.240737828721</v>
      </c>
      <c r="L15" s="44">
        <f>IFERROR(L4*L16,"na")</f>
        <v>14351.761064506396</v>
      </c>
      <c r="M15" s="44">
        <f t="shared" ref="M15:P15" si="19">IFERROR(M4*M16,"na")</f>
        <v>15326.110175181435</v>
      </c>
      <c r="N15" s="44">
        <f t="shared" si="19"/>
        <v>16351.841374612999</v>
      </c>
      <c r="O15" s="44">
        <f t="shared" si="19"/>
        <v>17430.466395868327</v>
      </c>
      <c r="P15" s="65">
        <f t="shared" si="19"/>
        <v>18563.446711599765</v>
      </c>
    </row>
    <row r="16" spans="1:16" x14ac:dyDescent="0.3">
      <c r="A16" s="94" t="s">
        <v>148</v>
      </c>
      <c r="C16" s="96">
        <f>IFERROR(C15/C4,"na")</f>
        <v>0.11148627885537622</v>
      </c>
      <c r="D16" s="96">
        <f t="shared" ref="D16:K16" si="20">IFERROR(D15/D4,"na")</f>
        <v>0.12720610882728395</v>
      </c>
      <c r="E16" s="96">
        <f t="shared" si="20"/>
        <v>0.15401511417775587</v>
      </c>
      <c r="F16" s="96">
        <f t="shared" si="20"/>
        <v>0.12761575256016008</v>
      </c>
      <c r="G16" s="96">
        <f t="shared" si="20"/>
        <v>0.12963363169447642</v>
      </c>
      <c r="H16" s="96">
        <f t="shared" si="20"/>
        <v>0.13368688836364867</v>
      </c>
      <c r="I16" s="96">
        <f t="shared" si="20"/>
        <v>0.12884293882171421</v>
      </c>
      <c r="J16" s="96">
        <f t="shared" si="20"/>
        <v>0.13019830943373439</v>
      </c>
      <c r="K16" s="96">
        <f t="shared" si="20"/>
        <v>0.1300515302316671</v>
      </c>
      <c r="L16" s="97">
        <f>K16</f>
        <v>0.1300515302316671</v>
      </c>
      <c r="M16" s="97">
        <f t="shared" ref="M16:P16" si="21">L16</f>
        <v>0.1300515302316671</v>
      </c>
      <c r="N16" s="97">
        <f t="shared" si="21"/>
        <v>0.1300515302316671</v>
      </c>
      <c r="O16" s="97">
        <f t="shared" si="21"/>
        <v>0.1300515302316671</v>
      </c>
      <c r="P16" s="98">
        <f t="shared" si="21"/>
        <v>0.1300515302316671</v>
      </c>
    </row>
    <row r="17" spans="1:16" x14ac:dyDescent="0.3">
      <c r="A17" s="55" t="s">
        <v>185</v>
      </c>
      <c r="C17" s="44">
        <f>Financials!G167+Financials!G168+Financials!G169</f>
        <v>-1658.5</v>
      </c>
      <c r="D17" s="44">
        <f>Financials!L167+Financials!L168+Financials!L169</f>
        <v>-1224.1999999999998</v>
      </c>
      <c r="E17" s="44">
        <f>Financials!Q167+Financials!Q168+Financials!Q169</f>
        <v>-1760</v>
      </c>
      <c r="F17" s="44">
        <f>Financials!V167+Financials!V168+Financials!V169</f>
        <v>-1900</v>
      </c>
      <c r="G17" s="44">
        <f>Financials!AA167+Financials!AA168+Financials!AA169</f>
        <v>-2100</v>
      </c>
      <c r="H17" s="44">
        <f>Financials!AF167+Financials!AF168+Financials!AF169</f>
        <v>-2100</v>
      </c>
      <c r="I17" s="44">
        <f>Financials!AK167+Financials!AK168+Financials!AK169</f>
        <v>-2100</v>
      </c>
      <c r="J17" s="44">
        <f>Financials!AP167+Financials!AP168+Financials!AP169</f>
        <v>-2200</v>
      </c>
      <c r="K17" s="44">
        <f>Financials!AU167+Financials!AU168+Financials!AU169</f>
        <v>-2200</v>
      </c>
      <c r="L17" s="44">
        <f>-L18*L4</f>
        <v>-2214.5841224185515</v>
      </c>
      <c r="M17" s="44">
        <f t="shared" ref="M17:P17" si="22">-M18*M4</f>
        <v>-2218.7447557005785</v>
      </c>
      <c r="N17" s="44">
        <f t="shared" si="22"/>
        <v>-2211.2660722234914</v>
      </c>
      <c r="O17" s="44">
        <f t="shared" si="22"/>
        <v>-2190.8677540988942</v>
      </c>
      <c r="P17" s="65">
        <f t="shared" si="22"/>
        <v>-2156.2059666149389</v>
      </c>
    </row>
    <row r="18" spans="1:16" s="52" customFormat="1" x14ac:dyDescent="0.3">
      <c r="A18" s="94" t="s">
        <v>148</v>
      </c>
      <c r="C18" s="96">
        <f>-IFERROR(C17/C4,"na")</f>
        <v>3.0887707307079869E-2</v>
      </c>
      <c r="D18" s="96">
        <f t="shared" ref="D18:K18" si="23">-IFERROR(D17/D4,"na")</f>
        <v>2.179536710469859E-2</v>
      </c>
      <c r="E18" s="96">
        <f t="shared" si="23"/>
        <v>2.8914079185148676E-2</v>
      </c>
      <c r="F18" s="96">
        <f t="shared" si="23"/>
        <v>2.6338210854836262E-2</v>
      </c>
      <c r="G18" s="96">
        <f t="shared" si="23"/>
        <v>2.722041124805346E-2</v>
      </c>
      <c r="H18" s="96">
        <f t="shared" si="23"/>
        <v>2.4891774434271124E-2</v>
      </c>
      <c r="I18" s="96">
        <f t="shared" si="23"/>
        <v>2.3275225088175075E-2</v>
      </c>
      <c r="J18" s="96">
        <f t="shared" si="23"/>
        <v>2.2796129269060227E-2</v>
      </c>
      <c r="K18" s="96">
        <f t="shared" si="23"/>
        <v>2.1308426064306503E-2</v>
      </c>
      <c r="L18" s="97">
        <f>K18+($P$9-$K$18)/5</f>
        <v>2.0067924253530749E-2</v>
      </c>
      <c r="M18" s="97">
        <f t="shared" ref="M18:P18" si="24">L18+($P$9-$K$18)/5</f>
        <v>1.8827422442754996E-2</v>
      </c>
      <c r="N18" s="97">
        <f t="shared" si="24"/>
        <v>1.7586920631979242E-2</v>
      </c>
      <c r="O18" s="97">
        <f t="shared" si="24"/>
        <v>1.6346418821203489E-2</v>
      </c>
      <c r="P18" s="98">
        <f t="shared" si="24"/>
        <v>1.5105917010427737E-2</v>
      </c>
    </row>
    <row r="19" spans="1:16" s="43" customFormat="1" ht="15" thickBot="1" x14ac:dyDescent="0.35">
      <c r="A19" s="58" t="s">
        <v>186</v>
      </c>
      <c r="B19" s="78"/>
      <c r="C19" s="100">
        <f>C12+C14+C17</f>
        <v>7014.2524403099615</v>
      </c>
      <c r="D19" s="100">
        <f t="shared" ref="D19:P19" si="25">D12+D14+D17</f>
        <v>9060.236528154961</v>
      </c>
      <c r="E19" s="100">
        <f t="shared" si="25"/>
        <v>10519.829767441861</v>
      </c>
      <c r="F19" s="100">
        <f t="shared" si="25"/>
        <v>7897.5674834913352</v>
      </c>
      <c r="G19" s="100">
        <f t="shared" si="25"/>
        <v>9892.9027011719445</v>
      </c>
      <c r="H19" s="100">
        <f t="shared" si="25"/>
        <v>11363.124056433549</v>
      </c>
      <c r="I19" s="100">
        <f t="shared" si="25"/>
        <v>11266.465445845844</v>
      </c>
      <c r="J19" s="100">
        <f t="shared" si="25"/>
        <v>12655.077074342154</v>
      </c>
      <c r="K19" s="100">
        <f t="shared" si="25"/>
        <v>13536.247508063045</v>
      </c>
      <c r="L19" s="100">
        <f t="shared" si="25"/>
        <v>15826.559566240785</v>
      </c>
      <c r="M19" s="100">
        <f t="shared" si="25"/>
        <v>17034.284880223146</v>
      </c>
      <c r="N19" s="100">
        <f t="shared" si="25"/>
        <v>18316.483647870049</v>
      </c>
      <c r="O19" s="100">
        <f t="shared" si="25"/>
        <v>19676.197583349596</v>
      </c>
      <c r="P19" s="79">
        <f t="shared" si="25"/>
        <v>21116.463285862217</v>
      </c>
    </row>
    <row r="22" spans="1:16" ht="15" thickBot="1" x14ac:dyDescent="0.35">
      <c r="A22" s="43" t="s">
        <v>229</v>
      </c>
      <c r="D22" s="43" t="s">
        <v>239</v>
      </c>
      <c r="J22" s="43" t="s">
        <v>249</v>
      </c>
    </row>
    <row r="23" spans="1:16" x14ac:dyDescent="0.3">
      <c r="A23" s="53" t="s">
        <v>230</v>
      </c>
      <c r="B23" s="60">
        <v>5.5E-2</v>
      </c>
      <c r="D23" s="53" t="s">
        <v>240</v>
      </c>
      <c r="E23" s="54"/>
      <c r="F23" s="54"/>
      <c r="G23" s="54"/>
      <c r="H23" s="67">
        <v>1104</v>
      </c>
      <c r="J23" s="53" t="s">
        <v>250</v>
      </c>
      <c r="K23" s="54"/>
      <c r="L23" s="54"/>
      <c r="M23" s="54"/>
      <c r="N23" s="54"/>
      <c r="O23" s="67">
        <f ca="1">IFERROR(NPV($B$31,OFFSET($F$19,0,0,1,COUNTIF($C$2:$P$2,"F"))),"n/a")</f>
        <v>94017.548973829005</v>
      </c>
    </row>
    <row r="24" spans="1:16" x14ac:dyDescent="0.3">
      <c r="A24" s="55" t="s">
        <v>231</v>
      </c>
      <c r="B24" s="56">
        <v>0.88</v>
      </c>
      <c r="D24" s="55" t="s">
        <v>241</v>
      </c>
      <c r="H24" s="56">
        <v>1</v>
      </c>
      <c r="J24" s="55" t="s">
        <v>251</v>
      </c>
      <c r="O24" s="65">
        <f ca="1">IFERROR((OFFSET(E19,0,COUNT(F19:IC19)))*((1+B32)/($B$31-B32))/((1+$B$31)^(COUNTIFS(C2:P2,"F"))),"na")</f>
        <v>496740.27780138026</v>
      </c>
    </row>
    <row r="25" spans="1:16" x14ac:dyDescent="0.3">
      <c r="A25" s="55" t="s">
        <v>232</v>
      </c>
      <c r="B25" s="61">
        <v>0.08</v>
      </c>
      <c r="D25" s="55" t="s">
        <v>242</v>
      </c>
      <c r="H25" s="65">
        <f>Financials!Q52</f>
        <v>507.8</v>
      </c>
      <c r="J25" s="55"/>
      <c r="O25" s="56"/>
    </row>
    <row r="26" spans="1:16" x14ac:dyDescent="0.3">
      <c r="A26" s="55" t="s">
        <v>233</v>
      </c>
      <c r="B26" s="61">
        <v>0.3</v>
      </c>
      <c r="D26" s="57" t="s">
        <v>243</v>
      </c>
      <c r="E26" s="43"/>
      <c r="F26" s="43"/>
      <c r="G26" s="43"/>
      <c r="H26" s="66">
        <f>H23*H25</f>
        <v>560611.20000000007</v>
      </c>
      <c r="J26" s="55" t="s">
        <v>252</v>
      </c>
      <c r="O26" s="65">
        <f>H27</f>
        <v>-410.30000000000018</v>
      </c>
    </row>
    <row r="27" spans="1:16" x14ac:dyDescent="0.3">
      <c r="A27" s="55" t="s">
        <v>234</v>
      </c>
      <c r="B27" s="61">
        <v>0.06</v>
      </c>
      <c r="D27" s="55" t="s">
        <v>247</v>
      </c>
      <c r="H27" s="65">
        <f>Financials!Q100+Financials!Q113-Financials!Q65</f>
        <v>-410.30000000000018</v>
      </c>
      <c r="J27" s="55" t="s">
        <v>253</v>
      </c>
      <c r="O27" s="65">
        <f>H31</f>
        <v>0</v>
      </c>
    </row>
    <row r="28" spans="1:16" s="43" customFormat="1" x14ac:dyDescent="0.3">
      <c r="A28" s="57" t="s">
        <v>235</v>
      </c>
      <c r="B28" s="62">
        <f>B23+B24*B25</f>
        <v>0.12540000000000001</v>
      </c>
      <c r="D28" s="55" t="s">
        <v>244</v>
      </c>
      <c r="E28"/>
      <c r="F28"/>
      <c r="G28"/>
      <c r="H28" s="65">
        <f>Financials!Q125</f>
        <v>1750.1</v>
      </c>
      <c r="J28" s="55" t="s">
        <v>254</v>
      </c>
      <c r="K28"/>
      <c r="L28"/>
      <c r="M28"/>
      <c r="N28"/>
      <c r="O28" s="65">
        <f>H29</f>
        <v>12656.300000000001</v>
      </c>
    </row>
    <row r="29" spans="1:16" x14ac:dyDescent="0.3">
      <c r="A29" s="55" t="s">
        <v>236</v>
      </c>
      <c r="B29" s="61">
        <v>0.5</v>
      </c>
      <c r="D29" s="55" t="s">
        <v>245</v>
      </c>
      <c r="H29" s="65">
        <f>Financials!Q68+Financials!Q86</f>
        <v>12656.300000000001</v>
      </c>
      <c r="J29" s="55" t="s">
        <v>255</v>
      </c>
      <c r="O29" s="65">
        <f>H30</f>
        <v>250.3</v>
      </c>
    </row>
    <row r="30" spans="1:16" x14ac:dyDescent="0.3">
      <c r="A30" s="55" t="s">
        <v>237</v>
      </c>
      <c r="B30" s="61">
        <f>1-B29</f>
        <v>0.5</v>
      </c>
      <c r="D30" s="55" t="s">
        <v>85</v>
      </c>
      <c r="H30" s="65">
        <f>Financials!Q85</f>
        <v>250.3</v>
      </c>
      <c r="J30" s="55" t="s">
        <v>256</v>
      </c>
      <c r="O30" s="65">
        <f>H28</f>
        <v>1750.1</v>
      </c>
    </row>
    <row r="31" spans="1:16" s="43" customFormat="1" x14ac:dyDescent="0.3">
      <c r="A31" s="57" t="s">
        <v>229</v>
      </c>
      <c r="B31" s="62">
        <f>(B27*B29*(1-B26))+B28*B30</f>
        <v>8.3699999999999997E-2</v>
      </c>
      <c r="D31" s="55" t="s">
        <v>246</v>
      </c>
      <c r="E31"/>
      <c r="F31"/>
      <c r="G31"/>
      <c r="H31" s="65">
        <f>Financials!Q115</f>
        <v>0</v>
      </c>
      <c r="J31" s="57" t="s">
        <v>257</v>
      </c>
      <c r="O31" s="66">
        <f ca="1">O23+O24+-O26-O27+O28+O29-O30</f>
        <v>602324.62677520944</v>
      </c>
    </row>
    <row r="32" spans="1:16" ht="15" thickBot="1" x14ac:dyDescent="0.35">
      <c r="A32" s="63" t="s">
        <v>238</v>
      </c>
      <c r="B32" s="64">
        <v>6.5000000000000002E-2</v>
      </c>
      <c r="D32" s="55" t="s">
        <v>248</v>
      </c>
      <c r="H32" s="65">
        <f>Financials!Q114</f>
        <v>381.7</v>
      </c>
      <c r="J32" s="55"/>
      <c r="O32" s="56"/>
    </row>
    <row r="33" spans="4:15" ht="15" thickBot="1" x14ac:dyDescent="0.35">
      <c r="D33" s="58" t="s">
        <v>179</v>
      </c>
      <c r="E33" s="78"/>
      <c r="F33" s="78"/>
      <c r="G33" s="78"/>
      <c r="H33" s="79">
        <f>H26+H27+H28-H29-H30+H31+H32</f>
        <v>549426.09999999986</v>
      </c>
      <c r="J33" s="68" t="s">
        <v>258</v>
      </c>
      <c r="K33" s="69"/>
      <c r="L33" s="69"/>
      <c r="M33" s="69"/>
      <c r="N33" s="69"/>
      <c r="O33" s="70">
        <f ca="1">O31/H25*1</f>
        <v>1186.1453855360564</v>
      </c>
    </row>
    <row r="34" spans="4:15" x14ac:dyDescent="0.3">
      <c r="J34" s="55" t="s">
        <v>259</v>
      </c>
      <c r="O34" s="65">
        <f>H23</f>
        <v>1104</v>
      </c>
    </row>
    <row r="35" spans="4:15" ht="15" thickBot="1" x14ac:dyDescent="0.35">
      <c r="J35" s="63" t="s">
        <v>260</v>
      </c>
      <c r="K35" s="59"/>
      <c r="L35" s="59"/>
      <c r="M35" s="59"/>
      <c r="N35" s="59"/>
      <c r="O35" s="64">
        <f ca="1">IFERROR(O33/O34-1,"na")</f>
        <v>7.4407052115993189E-2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</vt:lpstr>
      <vt:lpstr>Financials</vt:lpstr>
      <vt:lpstr>Operational Drivers</vt:lpstr>
      <vt:lpstr>Valuation</vt:lpstr>
      <vt:lpstr>data</vt:lpstr>
      <vt:lpstr>data_column</vt:lpstr>
      <vt:lpstr>data_row</vt:lpstr>
      <vt:lpstr>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Akansha B.</dc:creator>
  <cp:lastModifiedBy>Shraddha Solanki</cp:lastModifiedBy>
  <dcterms:created xsi:type="dcterms:W3CDTF">2019-02-23T06:59:58Z</dcterms:created>
  <dcterms:modified xsi:type="dcterms:W3CDTF">2025-08-31T13:33:55Z</dcterms:modified>
</cp:coreProperties>
</file>