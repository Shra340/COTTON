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rad\AppData\Local\Microsoft\Olk\Attachments\ooa-80628bf4-0c65-43d9-b7e1-b471d6a8ef62\4acd251eba3122599acbec69eead138199e405d6f1c90689534de03aa9dfdda2\"/>
    </mc:Choice>
  </mc:AlternateContent>
  <xr:revisionPtr revIDLastSave="0" documentId="13_ncr:1_{B9C4E7EC-CDF3-416A-AF5E-42B40575B38B}" xr6:coauthVersionLast="47" xr6:coauthVersionMax="47" xr10:uidLastSave="{00000000-0000-0000-0000-000000000000}"/>
  <bookViews>
    <workbookView xWindow="1152" yWindow="1152" windowWidth="13056" windowHeight="10476" xr2:uid="{00000000-000D-0000-FFFF-FFFF00000000}"/>
  </bookViews>
  <sheets>
    <sheet name="Overview - Fin_Mod_Case" sheetId="2" r:id="rId1"/>
    <sheet name="Sheet1" sheetId="3" state="hidden" r:id="rId2"/>
  </sheets>
  <definedNames>
    <definedName name="_xlnm.Print_Area" localSheetId="0">'Overview - Fin_Mod_Case'!$A$4:$Q$95</definedName>
    <definedName name="solver_typ" localSheetId="0" hidden="1">2</definedName>
    <definedName name="solver_ver" localSheetId="0" hidden="1">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89" i="2" l="1"/>
  <c r="D92" i="2"/>
  <c r="D93" i="2"/>
  <c r="D82" i="2"/>
  <c r="D83" i="2"/>
  <c r="D89" i="2" s="1"/>
  <c r="E82" i="2"/>
  <c r="D91" i="2"/>
  <c r="F89" i="2"/>
  <c r="H89" i="2"/>
  <c r="E83" i="2"/>
  <c r="E89" i="2" s="1"/>
  <c r="F83" i="2"/>
  <c r="G83" i="2"/>
  <c r="H83" i="2"/>
  <c r="F82" i="2"/>
  <c r="G82" i="2"/>
  <c r="H82" i="2"/>
  <c r="E81" i="2"/>
  <c r="F81" i="2"/>
  <c r="G81" i="2"/>
  <c r="H81" i="2"/>
  <c r="D81" i="2"/>
  <c r="E80" i="2"/>
  <c r="F80" i="2"/>
  <c r="G80" i="2"/>
  <c r="H80" i="2"/>
  <c r="D80" i="2"/>
  <c r="E79" i="2"/>
  <c r="F79" i="2"/>
  <c r="G79" i="2"/>
  <c r="H79" i="2"/>
  <c r="D79" i="2"/>
  <c r="F31" i="2"/>
  <c r="E31" i="2"/>
  <c r="E29" i="2"/>
  <c r="E23" i="2"/>
  <c r="E72" i="2"/>
  <c r="D70" i="2"/>
  <c r="F68" i="2"/>
  <c r="G68" i="2"/>
  <c r="H68" i="2"/>
  <c r="E68" i="2"/>
  <c r="F66" i="2"/>
  <c r="G66" i="2"/>
  <c r="H66" i="2"/>
  <c r="E66" i="2"/>
  <c r="E64" i="2"/>
  <c r="F64" i="2"/>
  <c r="G64" i="2"/>
  <c r="D69" i="2"/>
  <c r="D64" i="2"/>
  <c r="D63" i="2"/>
  <c r="F63" i="2"/>
  <c r="G63" i="2"/>
  <c r="H63" i="2"/>
  <c r="E63" i="2"/>
  <c r="D61" i="2"/>
  <c r="E60" i="2"/>
  <c r="F60" i="2"/>
  <c r="G60" i="2"/>
  <c r="H60" i="2"/>
  <c r="D60" i="2"/>
  <c r="D59" i="2"/>
  <c r="F50" i="2"/>
  <c r="G50" i="2"/>
  <c r="H50" i="2"/>
  <c r="F51" i="2"/>
  <c r="G51" i="2"/>
  <c r="H51" i="2"/>
  <c r="E51" i="2"/>
  <c r="D51" i="2"/>
  <c r="D53" i="2" s="1"/>
  <c r="E50" i="2"/>
  <c r="D50" i="2"/>
  <c r="E46" i="2"/>
  <c r="F46" i="2"/>
  <c r="G46" i="2"/>
  <c r="H46" i="2"/>
  <c r="D47" i="2"/>
  <c r="D46" i="2"/>
  <c r="F45" i="2"/>
  <c r="G45" i="2"/>
  <c r="H45" i="2"/>
  <c r="E45" i="2"/>
  <c r="E44" i="2"/>
  <c r="F44" i="2"/>
  <c r="G44" i="2"/>
  <c r="H44" i="2"/>
  <c r="D44" i="2"/>
  <c r="D43" i="2"/>
  <c r="F34" i="2"/>
  <c r="G34" i="2"/>
  <c r="H34" i="2"/>
  <c r="N48" i="2"/>
  <c r="O48" i="2"/>
  <c r="P48" i="2"/>
  <c r="N45" i="2"/>
  <c r="O45" i="2"/>
  <c r="P45" i="2"/>
  <c r="M45" i="2"/>
  <c r="M44" i="2"/>
  <c r="E34" i="2" s="1"/>
  <c r="M43" i="2"/>
  <c r="L46" i="2"/>
  <c r="G33" i="2"/>
  <c r="H33" i="2"/>
  <c r="F33" i="2"/>
  <c r="E33" i="2"/>
  <c r="G28" i="2"/>
  <c r="H28" i="2"/>
  <c r="F28" i="2"/>
  <c r="E28" i="2"/>
  <c r="G27" i="2"/>
  <c r="H27" i="2"/>
  <c r="F27" i="2"/>
  <c r="E27" i="2"/>
  <c r="G26" i="2"/>
  <c r="H26" i="2"/>
  <c r="F26" i="2"/>
  <c r="G25" i="2"/>
  <c r="H25" i="2"/>
  <c r="F25" i="2"/>
  <c r="G24" i="2"/>
  <c r="H24" i="2"/>
  <c r="F24" i="2"/>
  <c r="E26" i="2"/>
  <c r="E25" i="2"/>
  <c r="E24" i="2"/>
  <c r="G22" i="2"/>
  <c r="H22" i="2"/>
  <c r="E22" i="2"/>
  <c r="F22" i="2" s="1"/>
  <c r="H7" i="2"/>
  <c r="L95" i="2"/>
  <c r="L96" i="2" s="1"/>
  <c r="L97" i="2" s="1"/>
  <c r="L98" i="2" s="1"/>
  <c r="N93" i="2"/>
  <c r="O93" i="2" s="1"/>
  <c r="P93" i="2" s="1"/>
  <c r="Q93" i="2" s="1"/>
  <c r="N63" i="2"/>
  <c r="N61" i="2"/>
  <c r="N70" i="2"/>
  <c r="L83" i="2"/>
  <c r="L84" i="2" s="1"/>
  <c r="L85" i="2" s="1"/>
  <c r="L86" i="2" s="1"/>
  <c r="L87" i="2" s="1"/>
  <c r="N81" i="2"/>
  <c r="O81" i="2"/>
  <c r="P81" i="2" s="1"/>
  <c r="E35" i="2" l="1"/>
  <c r="E37" i="2" s="1"/>
  <c r="M46" i="2"/>
  <c r="D54" i="2"/>
  <c r="E38" i="2" l="1"/>
  <c r="N43" i="2"/>
  <c r="M48" i="2"/>
  <c r="E52" i="2" l="1"/>
  <c r="E59" i="2"/>
  <c r="E61" i="2" s="1"/>
  <c r="N44" i="2"/>
  <c r="N46" i="2"/>
  <c r="O43" i="2" s="1"/>
  <c r="E53" i="2" l="1"/>
  <c r="E70" i="2"/>
  <c r="E73" i="2" s="1"/>
  <c r="E69" i="2"/>
  <c r="O44" i="2"/>
  <c r="O46" i="2" s="1"/>
  <c r="P43" i="2" s="1"/>
  <c r="E54" i="2" l="1"/>
  <c r="E43" i="2"/>
  <c r="E47" i="2" s="1"/>
  <c r="F72" i="2"/>
  <c r="P44" i="2"/>
  <c r="P46" i="2" s="1"/>
  <c r="F23" i="2" l="1"/>
  <c r="F29" i="2" s="1"/>
  <c r="F35" i="2" s="1"/>
  <c r="F37" i="2" s="1"/>
  <c r="F38" i="2" s="1"/>
  <c r="F59" i="2" l="1"/>
  <c r="F61" i="2" s="1"/>
  <c r="F52" i="2"/>
  <c r="F53" i="2" s="1"/>
  <c r="F69" i="2" l="1"/>
  <c r="F70" i="2"/>
  <c r="F73" i="2" s="1"/>
  <c r="G72" i="2" l="1"/>
  <c r="G23" i="2" s="1"/>
  <c r="G29" i="2" s="1"/>
  <c r="F43" i="2"/>
  <c r="F47" i="2" s="1"/>
  <c r="F54" i="2" s="1"/>
  <c r="G31" i="2" l="1"/>
  <c r="G35" i="2" s="1"/>
  <c r="G37" i="2" s="1"/>
  <c r="G38" i="2" s="1"/>
  <c r="G59" i="2" l="1"/>
  <c r="G61" i="2" s="1"/>
  <c r="G52" i="2"/>
  <c r="G53" i="2" s="1"/>
  <c r="G69" i="2" l="1"/>
  <c r="G70" i="2"/>
  <c r="G73" i="2" s="1"/>
  <c r="G43" i="2" l="1"/>
  <c r="G47" i="2" s="1"/>
  <c r="G54" i="2" s="1"/>
  <c r="H72" i="2"/>
  <c r="H23" i="2" s="1"/>
  <c r="H29" i="2" s="1"/>
  <c r="H31" i="2" l="1"/>
  <c r="H35" i="2" s="1"/>
  <c r="H37" i="2" l="1"/>
  <c r="H38" i="2" s="1"/>
  <c r="H59" i="2" l="1"/>
  <c r="H61" i="2" s="1"/>
  <c r="H52" i="2"/>
  <c r="H53" i="2" s="1"/>
  <c r="H69" i="2" l="1"/>
  <c r="H70" i="2"/>
  <c r="H73" i="2" s="1"/>
  <c r="H43" i="2" s="1"/>
  <c r="H47" i="2" s="1"/>
  <c r="H5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complab102</author>
  </authors>
  <commentList>
    <comment ref="D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complab102:</t>
        </r>
        <r>
          <rPr>
            <sz val="9"/>
            <color indexed="81"/>
            <rFont val="Tahoma"/>
            <family val="2"/>
          </rPr>
          <t xml:space="preserve">
as % of cost of bus</t>
        </r>
      </text>
    </comment>
    <comment ref="H1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complab102:</t>
        </r>
        <r>
          <rPr>
            <sz val="9"/>
            <color indexed="81"/>
            <rFont val="Tahoma"/>
            <family val="2"/>
          </rPr>
          <t xml:space="preserve">
increase at inflation rate y/y</t>
        </r>
      </text>
    </comment>
    <comment ref="H1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complab102:</t>
        </r>
        <r>
          <rPr>
            <sz val="9"/>
            <color indexed="81"/>
            <rFont val="Tahoma"/>
            <family val="2"/>
          </rPr>
          <t xml:space="preserve">
increase at inflation rate y/y</t>
        </r>
      </text>
    </comment>
  </commentList>
</comments>
</file>

<file path=xl/sharedStrings.xml><?xml version="1.0" encoding="utf-8"?>
<sst xmlns="http://schemas.openxmlformats.org/spreadsheetml/2006/main" count="168" uniqueCount="127">
  <si>
    <t>Seating Capacity</t>
  </si>
  <si>
    <t>Debt</t>
  </si>
  <si>
    <t>Equity</t>
  </si>
  <si>
    <t>Interest on Debt</t>
  </si>
  <si>
    <t>Route</t>
  </si>
  <si>
    <t>Cost of Bus</t>
  </si>
  <si>
    <t>Assumptions - Bus</t>
  </si>
  <si>
    <t>Maintenance / year</t>
  </si>
  <si>
    <t>Escalation Rate - Maintenance</t>
  </si>
  <si>
    <t>Life of Bus (years)</t>
  </si>
  <si>
    <t>Deprecation Rate</t>
  </si>
  <si>
    <t>Assumptions - Financing</t>
  </si>
  <si>
    <t>Tenure of loan (years)</t>
  </si>
  <si>
    <t>Cost of Equity</t>
  </si>
  <si>
    <t>Assumptions - Operating Costs</t>
  </si>
  <si>
    <t>Assumptions - Operating Revenues</t>
  </si>
  <si>
    <t>Escalation Rate - Tariff</t>
  </si>
  <si>
    <t>Tariff (Rs./Ticket)</t>
  </si>
  <si>
    <t>Fuel Efficiency ( Km / L )</t>
  </si>
  <si>
    <t>Driver Cost (Rs./ Trip)</t>
  </si>
  <si>
    <t>Toll Amount (Rs. / Trip)</t>
  </si>
  <si>
    <t>Miscellaneous (Rs. / Trip)</t>
  </si>
  <si>
    <t>Assumptions - Operating General</t>
  </si>
  <si>
    <t>Distance (Kms)</t>
  </si>
  <si>
    <t>Mumbai - Pune</t>
  </si>
  <si>
    <t>Income Statement</t>
  </si>
  <si>
    <t>Tax Rate</t>
  </si>
  <si>
    <t>Assumptions - General</t>
  </si>
  <si>
    <t>Fuel Costs</t>
  </si>
  <si>
    <t>Driver Costs</t>
  </si>
  <si>
    <t>Miscellaneous Costs</t>
  </si>
  <si>
    <t>Toll Amount</t>
  </si>
  <si>
    <t>Cost of Revenues</t>
  </si>
  <si>
    <t>Depreciation</t>
  </si>
  <si>
    <t>Interest Expense</t>
  </si>
  <si>
    <t>Profit Before Tax</t>
  </si>
  <si>
    <t>Income Taxes</t>
  </si>
  <si>
    <t>Profit After Tax</t>
  </si>
  <si>
    <t>Balance Sheet</t>
  </si>
  <si>
    <t>Assets</t>
  </si>
  <si>
    <t>Cash</t>
  </si>
  <si>
    <t>Total Assets</t>
  </si>
  <si>
    <t>Liabilities</t>
  </si>
  <si>
    <t>Total Liabilities</t>
  </si>
  <si>
    <t>Checksum</t>
  </si>
  <si>
    <t>Cash Flow Statement</t>
  </si>
  <si>
    <t>Cash Flow From Operations</t>
  </si>
  <si>
    <t>Cash Flow from Investing</t>
  </si>
  <si>
    <t>Cash Flow from Financing</t>
  </si>
  <si>
    <t>Net change in Cash</t>
  </si>
  <si>
    <t>Cash - BOP</t>
  </si>
  <si>
    <t>Cash - EOP</t>
  </si>
  <si>
    <t>Debt is to be repaid in 4 equal annual installments at the end of every year</t>
  </si>
  <si>
    <t>Diesel rate (Rs./Lit)</t>
  </si>
  <si>
    <t>Diesel Price escalation</t>
  </si>
  <si>
    <t>Inflation</t>
  </si>
  <si>
    <t>Free Cash Flow - Equity</t>
  </si>
  <si>
    <t>NPV</t>
  </si>
  <si>
    <t>IRR</t>
  </si>
  <si>
    <t>Year - 0</t>
  </si>
  <si>
    <t>Year - 1</t>
  </si>
  <si>
    <t>Year - 2</t>
  </si>
  <si>
    <t>Year - 3</t>
  </si>
  <si>
    <t>Year - 4</t>
  </si>
  <si>
    <t>Estimated Time Hours/Trip</t>
  </si>
  <si>
    <t>Trips / Day</t>
  </si>
  <si>
    <t>Interest Rate (%)</t>
  </si>
  <si>
    <t>Financing Debt (%) - For Neutral Case</t>
  </si>
  <si>
    <t>Financial Modeling Case - Premium Bus Service</t>
  </si>
  <si>
    <t>Interest Income</t>
  </si>
  <si>
    <t>Other Income</t>
  </si>
  <si>
    <t>Gross Pofit / (EBITDA)</t>
  </si>
  <si>
    <t>Maintenance Expenses</t>
  </si>
  <si>
    <t>EAI</t>
  </si>
  <si>
    <t>Debt Schedule</t>
  </si>
  <si>
    <t>Returns Analysis - Equity</t>
  </si>
  <si>
    <t>FCFE</t>
  </si>
  <si>
    <t>Toll amount remains constant</t>
  </si>
  <si>
    <t>Increase at inflation rate</t>
  </si>
  <si>
    <t>All inflation/escalation happens from year 2</t>
  </si>
  <si>
    <t>Flag</t>
  </si>
  <si>
    <t>Principle Repaid</t>
  </si>
  <si>
    <t>SLM</t>
  </si>
  <si>
    <t xml:space="preserve"> </t>
  </si>
  <si>
    <t>Revenue</t>
  </si>
  <si>
    <t>BOP - Debt</t>
  </si>
  <si>
    <t>EOP - Debt</t>
  </si>
  <si>
    <t>Int Expense</t>
  </si>
  <si>
    <t>Acc Depreciation</t>
  </si>
  <si>
    <t>Increases at Maintenance escalation rate</t>
  </si>
  <si>
    <t>IRR Sensitivity</t>
  </si>
  <si>
    <t>Load Factor - Occupancy Rate</t>
  </si>
  <si>
    <t>Y-0</t>
  </si>
  <si>
    <t>Y-1</t>
  </si>
  <si>
    <t>Change in Asset</t>
  </si>
  <si>
    <t>Ao - A1</t>
  </si>
  <si>
    <t>Old - New</t>
  </si>
  <si>
    <t>Lia</t>
  </si>
  <si>
    <t>Change in Lia</t>
  </si>
  <si>
    <t>New - Old</t>
  </si>
  <si>
    <t>L1 - Lo</t>
  </si>
  <si>
    <t>(Cost - Salvage Value)/Life</t>
  </si>
  <si>
    <t>=</t>
  </si>
  <si>
    <t>Use of FUNDS/CASH</t>
  </si>
  <si>
    <t>SOURCE OF FUNDS</t>
  </si>
  <si>
    <t>Change in Fixed Asset, Gross (Capex)</t>
  </si>
  <si>
    <t>Change in Debt</t>
  </si>
  <si>
    <t>Change in Equity</t>
  </si>
  <si>
    <t>Fixed Assets, Gross (PPE, Gross)</t>
  </si>
  <si>
    <t>Fixed Asset, Net (PPE, Net)</t>
  </si>
  <si>
    <t>Retained Profit (Earning)</t>
  </si>
  <si>
    <t>Fuel Efficiency</t>
  </si>
  <si>
    <t>Load Factor</t>
  </si>
  <si>
    <t>other income</t>
  </si>
  <si>
    <t>pat</t>
  </si>
  <si>
    <t>eop cash</t>
  </si>
  <si>
    <t>avg cash</t>
  </si>
  <si>
    <t>iterations</t>
  </si>
  <si>
    <t>Days of Operation/Year</t>
  </si>
  <si>
    <t>TRIP - ONE SIDED JOURNEY</t>
  </si>
  <si>
    <t>&lt;== YEAR-2 ONWARDS</t>
  </si>
  <si>
    <t>EAI = EQUAL ANNUAL INSTALLMENT</t>
  </si>
  <si>
    <t>PROFIT AFTER TAX</t>
  </si>
  <si>
    <t>CHANGE IN FIXED ASSET, GROSS (CAPEX)</t>
  </si>
  <si>
    <t>Scrap Value</t>
  </si>
  <si>
    <t>ACCEPT AS NPV&gt;0</t>
  </si>
  <si>
    <t>ACCEPT AS IRR IS&gt;COST OF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</si>
</sst>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&quot;$&quot;#,##0.00_);[Red]\(&quot;$&quot;#,##0.00\)"/>
    <numFmt numFmtId="165" formatCode="_(* #,##0.00_);_(* \(#,##0.00\);_(* &quot;-&quot;??_);_(@_)"/>
    <numFmt numFmtId="166" formatCode="_(* #,##0_);_(* \(#,##0\);_(* &quot;-&quot;??_);_(@_)"/>
    <numFmt numFmtId="167" formatCode="0.0%"/>
    <numFmt numFmtId="168" formatCode="_(* #,###.00\x;_(* \(#,##0.00\);_(* &quot;-&quot;??_);_(@_)"/>
    <numFmt numFmtId="169" formatCode="\1\x"/>
    <numFmt numFmtId="170" formatCode="0.00\ &quot;x&quot;"/>
    <numFmt numFmtId="171" formatCode="_ * #,##0_ ;_ * \-#,##0_ ;_ * &quot;-&quot;??_ ;_ @_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u/>
      <sz val="11"/>
      <color theme="10"/>
      <name val="Calibri"/>
      <family val="2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theme="0"/>
      </right>
      <top style="medium">
        <color rgb="FFFFC000"/>
      </top>
      <bottom/>
      <diagonal/>
    </border>
    <border>
      <left style="medium">
        <color theme="0"/>
      </left>
      <right style="medium">
        <color theme="0"/>
      </right>
      <top style="medium">
        <color rgb="FFFFC000"/>
      </top>
      <bottom/>
      <diagonal/>
    </border>
    <border>
      <left style="medium">
        <color theme="0"/>
      </left>
      <right/>
      <top style="medium">
        <color rgb="FFFFC000"/>
      </top>
      <bottom/>
      <diagonal/>
    </border>
    <border>
      <left/>
      <right/>
      <top/>
      <bottom style="medium">
        <color rgb="FFFFC000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/>
      <top style="medium">
        <color rgb="FFFFC000"/>
      </top>
      <bottom/>
      <diagonal/>
    </border>
    <border>
      <left style="medium">
        <color rgb="FFFFC000"/>
      </left>
      <right/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5" fillId="0" borderId="0" xfId="0" applyFont="1"/>
    <xf numFmtId="10" fontId="5" fillId="0" borderId="0" xfId="3" applyNumberFormat="1" applyFont="1" applyFill="1"/>
    <xf numFmtId="0" fontId="4" fillId="0" borderId="0" xfId="0" applyFont="1"/>
    <xf numFmtId="166" fontId="6" fillId="0" borderId="0" xfId="1" applyNumberFormat="1" applyFont="1" applyFill="1"/>
    <xf numFmtId="166" fontId="4" fillId="0" borderId="0" xfId="1" applyNumberFormat="1" applyFont="1" applyFill="1"/>
    <xf numFmtId="9" fontId="5" fillId="0" borderId="0" xfId="0" applyNumberFormat="1" applyFont="1"/>
    <xf numFmtId="166" fontId="4" fillId="0" borderId="0" xfId="1" applyNumberFormat="1" applyFont="1"/>
    <xf numFmtId="166" fontId="10" fillId="0" borderId="0" xfId="1" applyNumberFormat="1" applyFont="1"/>
    <xf numFmtId="166" fontId="10" fillId="3" borderId="0" xfId="1" applyNumberFormat="1" applyFont="1" applyFill="1"/>
    <xf numFmtId="9" fontId="4" fillId="0" borderId="0" xfId="0" applyNumberFormat="1" applyFont="1"/>
    <xf numFmtId="166" fontId="4" fillId="0" borderId="0" xfId="0" applyNumberFormat="1" applyFont="1"/>
    <xf numFmtId="0" fontId="4" fillId="0" borderId="0" xfId="0" applyFont="1" applyAlignment="1">
      <alignment wrapText="1"/>
    </xf>
    <xf numFmtId="9" fontId="4" fillId="0" borderId="0" xfId="0" applyNumberFormat="1" applyFont="1" applyAlignment="1">
      <alignment wrapText="1"/>
    </xf>
    <xf numFmtId="9" fontId="4" fillId="0" borderId="0" xfId="3" applyFont="1"/>
    <xf numFmtId="0" fontId="4" fillId="0" borderId="0" xfId="0" applyFont="1" applyAlignment="1">
      <alignment horizontal="right"/>
    </xf>
    <xf numFmtId="0" fontId="4" fillId="0" borderId="9" xfId="0" applyFont="1" applyBorder="1"/>
    <xf numFmtId="0" fontId="11" fillId="0" borderId="0" xfId="0" applyFont="1" applyAlignment="1">
      <alignment horizontal="center"/>
    </xf>
    <xf numFmtId="0" fontId="4" fillId="0" borderId="0" xfId="0" applyFont="1" applyAlignment="1">
      <alignment horizontal="left" indent="1"/>
    </xf>
    <xf numFmtId="0" fontId="4" fillId="0" borderId="1" xfId="0" applyFont="1" applyBorder="1"/>
    <xf numFmtId="166" fontId="4" fillId="0" borderId="1" xfId="1" applyNumberFormat="1" applyFont="1" applyBorder="1"/>
    <xf numFmtId="0" fontId="4" fillId="0" borderId="2" xfId="0" applyFont="1" applyBorder="1"/>
    <xf numFmtId="166" fontId="4" fillId="0" borderId="2" xfId="1" applyNumberFormat="1" applyFont="1" applyBorder="1"/>
    <xf numFmtId="0" fontId="4" fillId="0" borderId="3" xfId="0" applyFont="1" applyBorder="1"/>
    <xf numFmtId="166" fontId="4" fillId="0" borderId="3" xfId="1" applyNumberFormat="1" applyFont="1" applyBorder="1"/>
    <xf numFmtId="165" fontId="4" fillId="0" borderId="0" xfId="1" applyFont="1"/>
    <xf numFmtId="167" fontId="4" fillId="0" borderId="0" xfId="0" applyNumberFormat="1" applyFont="1"/>
    <xf numFmtId="0" fontId="4" fillId="0" borderId="0" xfId="0" applyFont="1" applyAlignment="1">
      <alignment horizontal="left" indent="2"/>
    </xf>
    <xf numFmtId="0" fontId="4" fillId="0" borderId="1" xfId="0" applyFont="1" applyBorder="1" applyAlignment="1">
      <alignment horizontal="left" indent="1"/>
    </xf>
    <xf numFmtId="0" fontId="10" fillId="0" borderId="0" xfId="0" applyFont="1"/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165" fontId="4" fillId="0" borderId="0" xfId="1" applyFont="1" applyAlignment="1">
      <alignment horizontal="center"/>
    </xf>
    <xf numFmtId="170" fontId="4" fillId="0" borderId="0" xfId="0" applyNumberFormat="1" applyFont="1"/>
    <xf numFmtId="0" fontId="4" fillId="0" borderId="4" xfId="0" applyFont="1" applyBorder="1"/>
    <xf numFmtId="0" fontId="10" fillId="0" borderId="0" xfId="0" quotePrefix="1" applyFont="1"/>
    <xf numFmtId="169" fontId="4" fillId="0" borderId="0" xfId="0" applyNumberFormat="1" applyFont="1"/>
    <xf numFmtId="9" fontId="7" fillId="0" borderId="0" xfId="3" applyFont="1" applyFill="1" applyBorder="1"/>
    <xf numFmtId="165" fontId="7" fillId="0" borderId="0" xfId="1" applyFont="1" applyFill="1" applyBorder="1"/>
    <xf numFmtId="9" fontId="10" fillId="0" borderId="0" xfId="0" applyNumberFormat="1" applyFont="1"/>
    <xf numFmtId="0" fontId="4" fillId="0" borderId="5" xfId="0" applyFont="1" applyBorder="1"/>
    <xf numFmtId="165" fontId="4" fillId="0" borderId="0" xfId="0" applyNumberFormat="1" applyFont="1"/>
    <xf numFmtId="164" fontId="4" fillId="0" borderId="0" xfId="0" applyNumberFormat="1" applyFont="1"/>
    <xf numFmtId="166" fontId="4" fillId="0" borderId="0" xfId="1" applyNumberFormat="1" applyFont="1" applyFill="1" applyBorder="1"/>
    <xf numFmtId="166" fontId="4" fillId="0" borderId="0" xfId="1" applyNumberFormat="1" applyFont="1" applyFill="1" applyBorder="1" applyAlignment="1"/>
    <xf numFmtId="168" fontId="4" fillId="0" borderId="0" xfId="0" applyNumberFormat="1" applyFont="1"/>
    <xf numFmtId="0" fontId="12" fillId="0" borderId="0" xfId="2" applyFont="1" applyAlignment="1" applyProtection="1"/>
    <xf numFmtId="10" fontId="4" fillId="0" borderId="13" xfId="0" applyNumberFormat="1" applyFont="1" applyBorder="1"/>
    <xf numFmtId="0" fontId="4" fillId="0" borderId="1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9" fontId="4" fillId="0" borderId="14" xfId="3" applyFont="1" applyFill="1" applyBorder="1" applyAlignment="1">
      <alignment horizontal="center"/>
    </xf>
    <xf numFmtId="9" fontId="4" fillId="0" borderId="17" xfId="3" applyFont="1" applyFill="1" applyBorder="1" applyAlignment="1">
      <alignment horizontal="center"/>
    </xf>
    <xf numFmtId="1" fontId="4" fillId="0" borderId="0" xfId="0" applyNumberFormat="1" applyFont="1"/>
    <xf numFmtId="165" fontId="4" fillId="0" borderId="0" xfId="1" applyFont="1" applyFill="1"/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166" fontId="4" fillId="5" borderId="0" xfId="1" applyNumberFormat="1" applyFont="1" applyFill="1"/>
    <xf numFmtId="171" fontId="4" fillId="5" borderId="0" xfId="1" applyNumberFormat="1" applyFont="1" applyFill="1"/>
    <xf numFmtId="166" fontId="4" fillId="5" borderId="1" xfId="1" applyNumberFormat="1" applyFont="1" applyFill="1" applyBorder="1"/>
    <xf numFmtId="166" fontId="4" fillId="5" borderId="2" xfId="1" applyNumberFormat="1" applyFont="1" applyFill="1" applyBorder="1"/>
    <xf numFmtId="166" fontId="4" fillId="5" borderId="3" xfId="1" applyNumberFormat="1" applyFont="1" applyFill="1" applyBorder="1"/>
    <xf numFmtId="166" fontId="4" fillId="5" borderId="4" xfId="1" applyNumberFormat="1" applyFont="1" applyFill="1" applyBorder="1"/>
    <xf numFmtId="166" fontId="4" fillId="5" borderId="0" xfId="0" applyNumberFormat="1" applyFont="1" applyFill="1"/>
    <xf numFmtId="166" fontId="4" fillId="5" borderId="3" xfId="0" applyNumberFormat="1" applyFont="1" applyFill="1" applyBorder="1"/>
    <xf numFmtId="167" fontId="4" fillId="5" borderId="0" xfId="3" applyNumberFormat="1" applyFont="1" applyFill="1" applyAlignment="1">
      <alignment horizontal="right"/>
    </xf>
    <xf numFmtId="10" fontId="4" fillId="5" borderId="0" xfId="0" applyNumberFormat="1" applyFont="1" applyFill="1"/>
    <xf numFmtId="167" fontId="7" fillId="5" borderId="10" xfId="3" applyNumberFormat="1" applyFont="1" applyFill="1" applyBorder="1"/>
    <xf numFmtId="167" fontId="7" fillId="5" borderId="11" xfId="3" applyNumberFormat="1" applyFont="1" applyFill="1" applyBorder="1"/>
    <xf numFmtId="167" fontId="7" fillId="5" borderId="12" xfId="3" applyNumberFormat="1" applyFont="1" applyFill="1" applyBorder="1"/>
    <xf numFmtId="167" fontId="7" fillId="5" borderId="0" xfId="3" applyNumberFormat="1" applyFont="1" applyFill="1" applyBorder="1"/>
    <xf numFmtId="9" fontId="4" fillId="5" borderId="13" xfId="3" applyFont="1" applyFill="1" applyBorder="1" applyAlignment="1">
      <alignment horizontal="center"/>
    </xf>
    <xf numFmtId="9" fontId="4" fillId="5" borderId="1" xfId="3" applyFont="1" applyFill="1" applyBorder="1" applyAlignment="1">
      <alignment horizontal="center"/>
    </xf>
    <xf numFmtId="9" fontId="4" fillId="5" borderId="15" xfId="3" applyFont="1" applyFill="1" applyBorder="1" applyAlignment="1">
      <alignment horizontal="center"/>
    </xf>
    <xf numFmtId="9" fontId="4" fillId="5" borderId="14" xfId="3" applyFont="1" applyFill="1" applyBorder="1" applyAlignment="1">
      <alignment horizontal="center"/>
    </xf>
    <xf numFmtId="9" fontId="4" fillId="5" borderId="0" xfId="3" applyFont="1" applyFill="1" applyBorder="1" applyAlignment="1">
      <alignment horizontal="center"/>
    </xf>
    <xf numFmtId="9" fontId="4" fillId="5" borderId="16" xfId="3" applyFont="1" applyFill="1" applyBorder="1" applyAlignment="1">
      <alignment horizontal="center"/>
    </xf>
    <xf numFmtId="9" fontId="7" fillId="5" borderId="17" xfId="3" applyFont="1" applyFill="1" applyBorder="1" applyAlignment="1">
      <alignment horizontal="center"/>
    </xf>
    <xf numFmtId="9" fontId="7" fillId="5" borderId="18" xfId="3" applyFont="1" applyFill="1" applyBorder="1" applyAlignment="1">
      <alignment horizontal="center"/>
    </xf>
    <xf numFmtId="9" fontId="7" fillId="5" borderId="19" xfId="3" applyFont="1" applyFill="1" applyBorder="1" applyAlignment="1">
      <alignment horizontal="center"/>
    </xf>
    <xf numFmtId="0" fontId="13" fillId="4" borderId="0" xfId="0" applyFont="1" applyFill="1" applyAlignment="1">
      <alignment vertical="center"/>
    </xf>
    <xf numFmtId="0" fontId="2" fillId="4" borderId="0" xfId="0" applyFont="1" applyFill="1"/>
    <xf numFmtId="165" fontId="4" fillId="5" borderId="0" xfId="1" applyFont="1" applyFill="1"/>
    <xf numFmtId="0" fontId="4" fillId="6" borderId="0" xfId="0" applyFont="1" applyFill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textRotation="90"/>
    </xf>
    <xf numFmtId="0" fontId="4" fillId="6" borderId="9" xfId="0" applyFont="1" applyFill="1" applyBorder="1" applyAlignment="1">
      <alignment horizontal="left"/>
    </xf>
    <xf numFmtId="0" fontId="2" fillId="0" borderId="0" xfId="0" applyFont="1" applyAlignment="1">
      <alignment horizontal="center" vertical="center" textRotation="90"/>
    </xf>
    <xf numFmtId="0" fontId="2" fillId="4" borderId="0" xfId="0" applyFont="1" applyFill="1" applyAlignment="1">
      <alignment horizontal="center"/>
    </xf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3"/>
      <tableStyleElement type="header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106551</xdr:colOff>
      <xdr:row>1</xdr:row>
      <xdr:rowOff>180813</xdr:rowOff>
    </xdr:from>
    <xdr:to>
      <xdr:col>1</xdr:col>
      <xdr:colOff>113008</xdr:colOff>
      <xdr:row>4</xdr:row>
      <xdr:rowOff>45202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 rot="16200000" flipH="1">
          <a:off x="502081" y="586029"/>
          <a:ext cx="435889" cy="645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406830</xdr:colOff>
      <xdr:row>4</xdr:row>
      <xdr:rowOff>96864</xdr:rowOff>
    </xdr:from>
    <xdr:to>
      <xdr:col>2</xdr:col>
      <xdr:colOff>571500</xdr:colOff>
      <xdr:row>4</xdr:row>
      <xdr:rowOff>106551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 flipV="1">
          <a:off x="1017076" y="858864"/>
          <a:ext cx="774916" cy="96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351942</xdr:colOff>
      <xdr:row>2</xdr:row>
      <xdr:rowOff>22602</xdr:rowOff>
    </xdr:from>
    <xdr:to>
      <xdr:col>3</xdr:col>
      <xdr:colOff>358400</xdr:colOff>
      <xdr:row>4</xdr:row>
      <xdr:rowOff>29059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 rot="16200000" flipV="1">
          <a:off x="1992179" y="594102"/>
          <a:ext cx="387457" cy="64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203416</xdr:colOff>
      <xdr:row>1</xdr:row>
      <xdr:rowOff>90407</xdr:rowOff>
    </xdr:from>
    <xdr:to>
      <xdr:col>2</xdr:col>
      <xdr:colOff>548899</xdr:colOff>
      <xdr:row>1</xdr:row>
      <xdr:rowOff>100093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 rot="10800000" flipV="1">
          <a:off x="1423908" y="280907"/>
          <a:ext cx="345483" cy="968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B1:V139"/>
  <sheetViews>
    <sheetView showGridLines="0" tabSelected="1" topLeftCell="A87" zoomScale="127" zoomScaleNormal="130" zoomScalePageLayoutView="140" workbookViewId="0">
      <selection activeCell="E94" sqref="E94"/>
    </sheetView>
  </sheetViews>
  <sheetFormatPr defaultColWidth="8.77734375" defaultRowHeight="14.4" x14ac:dyDescent="0.3"/>
  <cols>
    <col min="1" max="1" width="0.77734375" style="3" customWidth="1"/>
    <col min="2" max="2" width="51.44140625" style="3" bestFit="1" customWidth="1"/>
    <col min="3" max="3" width="3.44140625" style="3" hidden="1" customWidth="1"/>
    <col min="4" max="4" width="13.77734375" style="3" bestFit="1" customWidth="1"/>
    <col min="5" max="5" width="20.109375" style="3" bestFit="1" customWidth="1"/>
    <col min="6" max="6" width="12.77734375" style="3" customWidth="1"/>
    <col min="7" max="8" width="11.44140625" style="3" bestFit="1" customWidth="1"/>
    <col min="9" max="9" width="1.44140625" style="3" customWidth="1"/>
    <col min="10" max="10" width="1.77734375" style="3" bestFit="1" customWidth="1"/>
    <col min="11" max="11" width="9.109375" style="3" customWidth="1"/>
    <col min="12" max="12" width="12.33203125" style="3" customWidth="1"/>
    <col min="13" max="13" width="12.21875" style="3" customWidth="1"/>
    <col min="14" max="16" width="14" style="3" customWidth="1"/>
    <col min="17" max="20" width="13.21875" style="3" bestFit="1" customWidth="1"/>
    <col min="21" max="21" width="8.77734375" style="3"/>
    <col min="22" max="25" width="10.44140625" style="3" bestFit="1" customWidth="1"/>
    <col min="26" max="26" width="8.77734375" style="3"/>
    <col min="27" max="27" width="10.44140625" style="3" bestFit="1" customWidth="1"/>
    <col min="28" max="16384" width="8.77734375" style="3"/>
  </cols>
  <sheetData>
    <row r="1" spans="2:14" s="81" customFormat="1" ht="35.25" customHeight="1" x14ac:dyDescent="0.3">
      <c r="B1" s="80" t="s">
        <v>68</v>
      </c>
    </row>
    <row r="2" spans="2:14" x14ac:dyDescent="0.3">
      <c r="H2" s="10"/>
    </row>
    <row r="3" spans="2:14" x14ac:dyDescent="0.3">
      <c r="H3" s="11"/>
    </row>
    <row r="4" spans="2:14" x14ac:dyDescent="0.3">
      <c r="B4" s="83" t="s">
        <v>6</v>
      </c>
      <c r="C4" s="83"/>
      <c r="D4" s="83"/>
      <c r="F4" s="83" t="s">
        <v>11</v>
      </c>
      <c r="G4" s="83"/>
      <c r="H4" s="83"/>
      <c r="K4" s="83" t="s">
        <v>27</v>
      </c>
      <c r="L4" s="83"/>
      <c r="M4" s="83"/>
      <c r="N4" s="83"/>
    </row>
    <row r="6" spans="2:14" x14ac:dyDescent="0.3">
      <c r="B6" s="3" t="s">
        <v>5</v>
      </c>
      <c r="D6" s="7">
        <v>12500000</v>
      </c>
      <c r="F6" s="3" t="s">
        <v>1</v>
      </c>
      <c r="H6" s="10">
        <v>0.6</v>
      </c>
      <c r="K6" s="3" t="s">
        <v>26</v>
      </c>
      <c r="N6" s="10">
        <v>0.33</v>
      </c>
    </row>
    <row r="7" spans="2:14" ht="15" customHeight="1" x14ac:dyDescent="0.3">
      <c r="B7" s="3" t="s">
        <v>7</v>
      </c>
      <c r="D7" s="10">
        <v>0.1</v>
      </c>
      <c r="F7" s="3" t="s">
        <v>2</v>
      </c>
      <c r="H7" s="10">
        <f>1-H6</f>
        <v>0.4</v>
      </c>
      <c r="K7" s="12" t="s">
        <v>52</v>
      </c>
      <c r="L7" s="12"/>
      <c r="N7" s="12"/>
    </row>
    <row r="8" spans="2:14" x14ac:dyDescent="0.3">
      <c r="B8" s="3" t="s">
        <v>8</v>
      </c>
      <c r="D8" s="10">
        <v>0.15</v>
      </c>
      <c r="F8" s="3" t="s">
        <v>3</v>
      </c>
      <c r="H8" s="10">
        <v>0.15</v>
      </c>
      <c r="K8" s="3" t="s">
        <v>69</v>
      </c>
      <c r="L8" s="12"/>
      <c r="N8" s="13">
        <v>0.05</v>
      </c>
    </row>
    <row r="9" spans="2:14" x14ac:dyDescent="0.3">
      <c r="B9" s="3" t="s">
        <v>9</v>
      </c>
      <c r="D9" s="7">
        <v>4</v>
      </c>
      <c r="F9" s="3" t="s">
        <v>12</v>
      </c>
      <c r="H9" s="7">
        <v>4</v>
      </c>
      <c r="K9" s="3" t="s">
        <v>53</v>
      </c>
      <c r="N9" s="3">
        <v>95</v>
      </c>
    </row>
    <row r="10" spans="2:14" x14ac:dyDescent="0.3">
      <c r="B10" s="3" t="s">
        <v>10</v>
      </c>
      <c r="D10" s="10">
        <v>0.25</v>
      </c>
      <c r="E10" s="3" t="s">
        <v>82</v>
      </c>
      <c r="F10" s="3" t="s">
        <v>13</v>
      </c>
      <c r="H10" s="14">
        <v>0.2</v>
      </c>
      <c r="K10" s="3" t="s">
        <v>54</v>
      </c>
      <c r="N10" s="10">
        <v>0.15</v>
      </c>
    </row>
    <row r="11" spans="2:14" x14ac:dyDescent="0.3">
      <c r="B11" s="3" t="s">
        <v>124</v>
      </c>
      <c r="D11" s="52">
        <v>0</v>
      </c>
      <c r="K11" s="3" t="s">
        <v>55</v>
      </c>
      <c r="N11" s="10">
        <v>0.1</v>
      </c>
    </row>
    <row r="12" spans="2:14" x14ac:dyDescent="0.3">
      <c r="B12" s="83" t="s">
        <v>15</v>
      </c>
      <c r="C12" s="83"/>
      <c r="D12" s="83"/>
      <c r="F12" s="83" t="s">
        <v>14</v>
      </c>
      <c r="G12" s="83"/>
      <c r="H12" s="83"/>
      <c r="K12" s="83" t="s">
        <v>22</v>
      </c>
      <c r="L12" s="83"/>
      <c r="M12" s="83"/>
      <c r="N12" s="83"/>
    </row>
    <row r="14" spans="2:14" x14ac:dyDescent="0.3">
      <c r="B14" s="3" t="s">
        <v>0</v>
      </c>
      <c r="D14" s="3">
        <v>35</v>
      </c>
      <c r="F14" s="3" t="s">
        <v>18</v>
      </c>
      <c r="H14" s="3">
        <v>3.5</v>
      </c>
      <c r="K14" s="3" t="s">
        <v>4</v>
      </c>
      <c r="N14" s="15" t="s">
        <v>24</v>
      </c>
    </row>
    <row r="15" spans="2:14" x14ac:dyDescent="0.3">
      <c r="B15" s="3" t="s">
        <v>91</v>
      </c>
      <c r="D15" s="10">
        <v>0.5</v>
      </c>
      <c r="F15" s="3" t="s">
        <v>19</v>
      </c>
      <c r="H15" s="3">
        <v>500</v>
      </c>
      <c r="K15" s="3" t="s">
        <v>23</v>
      </c>
      <c r="N15" s="3">
        <v>155</v>
      </c>
    </row>
    <row r="16" spans="2:14" x14ac:dyDescent="0.3">
      <c r="B16" s="3" t="s">
        <v>17</v>
      </c>
      <c r="D16" s="53">
        <v>600</v>
      </c>
      <c r="F16" s="3" t="s">
        <v>21</v>
      </c>
      <c r="H16" s="3">
        <v>750</v>
      </c>
      <c r="K16" s="3" t="s">
        <v>64</v>
      </c>
      <c r="N16" s="15">
        <v>3</v>
      </c>
    </row>
    <row r="17" spans="2:14" x14ac:dyDescent="0.3">
      <c r="B17" s="3" t="s">
        <v>16</v>
      </c>
      <c r="D17" s="10">
        <v>0.1</v>
      </c>
      <c r="E17" s="3" t="s">
        <v>120</v>
      </c>
      <c r="F17" s="3" t="s">
        <v>20</v>
      </c>
      <c r="H17" s="3">
        <v>1000</v>
      </c>
      <c r="K17" s="3" t="s">
        <v>65</v>
      </c>
      <c r="N17" s="3">
        <v>4</v>
      </c>
    </row>
    <row r="18" spans="2:14" x14ac:dyDescent="0.3">
      <c r="B18" s="3" t="s">
        <v>118</v>
      </c>
      <c r="D18" s="3">
        <v>365</v>
      </c>
      <c r="K18" s="3" t="s">
        <v>119</v>
      </c>
    </row>
    <row r="19" spans="2:14" ht="15" thickBot="1" x14ac:dyDescent="0.35">
      <c r="B19" s="91" t="s">
        <v>25</v>
      </c>
      <c r="C19" s="91"/>
      <c r="D19" s="91"/>
      <c r="E19" s="16"/>
      <c r="F19" s="16"/>
      <c r="G19" s="16"/>
      <c r="H19" s="16"/>
    </row>
    <row r="20" spans="2:14" x14ac:dyDescent="0.3">
      <c r="D20" s="54" t="s">
        <v>59</v>
      </c>
      <c r="E20" s="55" t="s">
        <v>60</v>
      </c>
      <c r="F20" s="55" t="s">
        <v>61</v>
      </c>
      <c r="G20" s="55" t="s">
        <v>62</v>
      </c>
      <c r="H20" s="56" t="s">
        <v>63</v>
      </c>
    </row>
    <row r="21" spans="2:14" x14ac:dyDescent="0.3">
      <c r="B21" s="3" t="s">
        <v>80</v>
      </c>
      <c r="D21" s="17">
        <v>0</v>
      </c>
      <c r="E21" s="17">
        <v>1</v>
      </c>
      <c r="F21" s="17">
        <v>2</v>
      </c>
      <c r="G21" s="17">
        <v>3</v>
      </c>
      <c r="H21" s="17">
        <v>4</v>
      </c>
    </row>
    <row r="22" spans="2:14" x14ac:dyDescent="0.3">
      <c r="B22" s="3" t="s">
        <v>84</v>
      </c>
      <c r="D22" s="7"/>
      <c r="E22" s="57">
        <f>D14*D15*D16*D18*4</f>
        <v>15330000</v>
      </c>
      <c r="F22" s="57">
        <f>E22+$D$17*E22</f>
        <v>16863000</v>
      </c>
      <c r="G22" s="57">
        <f t="shared" ref="G22:H22" si="0">F22+$D$17*F22</f>
        <v>18549300</v>
      </c>
      <c r="H22" s="57">
        <f t="shared" si="0"/>
        <v>20404230</v>
      </c>
      <c r="I22" s="3" t="s">
        <v>16</v>
      </c>
    </row>
    <row r="23" spans="2:14" ht="21" customHeight="1" x14ac:dyDescent="0.3">
      <c r="B23" s="3" t="s">
        <v>70</v>
      </c>
      <c r="D23" s="7"/>
      <c r="E23" s="5">
        <f>E72*$N$8</f>
        <v>0</v>
      </c>
      <c r="F23" s="5">
        <f t="shared" ref="F23:H23" si="1">F72*$N$8</f>
        <v>94636.63601057115</v>
      </c>
      <c r="G23" s="5">
        <f t="shared" si="1"/>
        <v>193650.64286080856</v>
      </c>
      <c r="H23" s="5">
        <f t="shared" si="1"/>
        <v>295436.53867666196</v>
      </c>
      <c r="M23" s="3" t="s">
        <v>79</v>
      </c>
    </row>
    <row r="24" spans="2:14" x14ac:dyDescent="0.3">
      <c r="B24" s="18" t="s">
        <v>28</v>
      </c>
      <c r="D24" s="7"/>
      <c r="E24" s="58">
        <f>N15/H14*N9*N17*D18</f>
        <v>6142428.5714285709</v>
      </c>
      <c r="F24" s="57">
        <f>E24+(E24*$N$10)</f>
        <v>7063792.8571428563</v>
      </c>
      <c r="G24" s="57">
        <f t="shared" ref="G24:H24" si="2">F24+(F24*$N$10)</f>
        <v>8123361.7857142845</v>
      </c>
      <c r="H24" s="57">
        <f t="shared" si="2"/>
        <v>9341866.0535714272</v>
      </c>
      <c r="I24" s="3" t="s">
        <v>54</v>
      </c>
    </row>
    <row r="25" spans="2:14" x14ac:dyDescent="0.3">
      <c r="B25" s="18" t="s">
        <v>72</v>
      </c>
      <c r="D25" s="7"/>
      <c r="E25" s="57">
        <f>D6*D7</f>
        <v>1250000</v>
      </c>
      <c r="F25" s="57">
        <f>E25*$D$8+E25</f>
        <v>1437500</v>
      </c>
      <c r="G25" s="57">
        <f t="shared" ref="G25:H25" si="3">F25*$D$8+F25</f>
        <v>1653125</v>
      </c>
      <c r="H25" s="57">
        <f t="shared" si="3"/>
        <v>1901093.75</v>
      </c>
      <c r="I25" s="3" t="s">
        <v>89</v>
      </c>
    </row>
    <row r="26" spans="2:14" x14ac:dyDescent="0.3">
      <c r="B26" s="18" t="s">
        <v>29</v>
      </c>
      <c r="D26" s="7"/>
      <c r="E26" s="57">
        <f>H15*N17*D18</f>
        <v>730000</v>
      </c>
      <c r="F26" s="57">
        <f>E26*$N$11+E26</f>
        <v>803000</v>
      </c>
      <c r="G26" s="57">
        <f t="shared" ref="G26:H26" si="4">F26*$N$11+F26</f>
        <v>883300</v>
      </c>
      <c r="H26" s="57">
        <f t="shared" si="4"/>
        <v>971630</v>
      </c>
      <c r="I26" s="3" t="s">
        <v>78</v>
      </c>
    </row>
    <row r="27" spans="2:14" x14ac:dyDescent="0.3">
      <c r="B27" s="18" t="s">
        <v>30</v>
      </c>
      <c r="D27" s="7"/>
      <c r="E27" s="57">
        <f>H16*D18*N17</f>
        <v>1095000</v>
      </c>
      <c r="F27" s="57">
        <f>E27*$N$11+E27</f>
        <v>1204500</v>
      </c>
      <c r="G27" s="57">
        <f t="shared" ref="G27:H27" si="5">F27*$N$11+F27</f>
        <v>1324950</v>
      </c>
      <c r="H27" s="57">
        <f t="shared" si="5"/>
        <v>1457445</v>
      </c>
      <c r="I27" s="3" t="s">
        <v>78</v>
      </c>
    </row>
    <row r="28" spans="2:14" x14ac:dyDescent="0.3">
      <c r="B28" s="18" t="s">
        <v>31</v>
      </c>
      <c r="D28" s="7"/>
      <c r="E28" s="57">
        <f>H17*N17*D18</f>
        <v>1460000</v>
      </c>
      <c r="F28" s="57">
        <f>E28</f>
        <v>1460000</v>
      </c>
      <c r="G28" s="57">
        <f t="shared" ref="G28:H28" si="6">F28</f>
        <v>1460000</v>
      </c>
      <c r="H28" s="57">
        <f t="shared" si="6"/>
        <v>1460000</v>
      </c>
      <c r="I28" s="3" t="s">
        <v>77</v>
      </c>
    </row>
    <row r="29" spans="2:14" x14ac:dyDescent="0.3">
      <c r="B29" s="19" t="s">
        <v>32</v>
      </c>
      <c r="C29" s="19"/>
      <c r="D29" s="20"/>
      <c r="E29" s="59">
        <f>SUM(E24:E28)+E23</f>
        <v>10677428.571428571</v>
      </c>
      <c r="F29" s="59">
        <f t="shared" ref="F29:H29" si="7">SUM(F24:F28)+F23</f>
        <v>12063429.493153427</v>
      </c>
      <c r="G29" s="59">
        <f t="shared" si="7"/>
        <v>13638387.428575093</v>
      </c>
      <c r="H29" s="59">
        <f t="shared" si="7"/>
        <v>15427471.34224809</v>
      </c>
    </row>
    <row r="30" spans="2:14" x14ac:dyDescent="0.3">
      <c r="D30" s="7"/>
      <c r="E30" s="5"/>
      <c r="F30" s="5"/>
      <c r="G30" s="5"/>
      <c r="H30" s="5"/>
    </row>
    <row r="31" spans="2:14" x14ac:dyDescent="0.3">
      <c r="B31" s="21" t="s">
        <v>71</v>
      </c>
      <c r="C31" s="21"/>
      <c r="D31" s="22"/>
      <c r="E31" s="59">
        <f>E22-E29+E23</f>
        <v>4652571.4285714291</v>
      </c>
      <c r="F31" s="59">
        <f t="shared" ref="F31:H31" si="8">F22-F29+F23</f>
        <v>4894207.1428571446</v>
      </c>
      <c r="G31" s="59">
        <f t="shared" si="8"/>
        <v>5104563.2142857155</v>
      </c>
      <c r="H31" s="59">
        <f t="shared" si="8"/>
        <v>5272195.1964285728</v>
      </c>
    </row>
    <row r="32" spans="2:14" ht="6" customHeight="1" x14ac:dyDescent="0.3">
      <c r="D32" s="7"/>
      <c r="E32" s="5"/>
      <c r="F32" s="5"/>
      <c r="G32" s="5"/>
      <c r="H32" s="5"/>
    </row>
    <row r="33" spans="2:21" x14ac:dyDescent="0.3">
      <c r="B33" s="18" t="s">
        <v>33</v>
      </c>
      <c r="D33" s="7"/>
      <c r="E33" s="57">
        <f>D6/D9</f>
        <v>3125000</v>
      </c>
      <c r="F33" s="57">
        <f>E33</f>
        <v>3125000</v>
      </c>
      <c r="G33" s="57">
        <f t="shared" ref="G33:H33" si="9">F33</f>
        <v>3125000</v>
      </c>
      <c r="H33" s="57">
        <f t="shared" si="9"/>
        <v>3125000</v>
      </c>
      <c r="J33" s="3" t="s">
        <v>102</v>
      </c>
      <c r="K33" s="3" t="s">
        <v>101</v>
      </c>
    </row>
    <row r="34" spans="2:21" x14ac:dyDescent="0.3">
      <c r="B34" s="18" t="s">
        <v>34</v>
      </c>
      <c r="D34" s="7"/>
      <c r="E34" s="5">
        <f>M44</f>
        <v>1125000</v>
      </c>
      <c r="F34" s="5">
        <f t="shared" ref="F34:H34" si="10">N44</f>
        <v>899701.47946028481</v>
      </c>
      <c r="G34" s="5">
        <f t="shared" si="10"/>
        <v>640608.18083961261</v>
      </c>
      <c r="H34" s="5">
        <f t="shared" si="10"/>
        <v>342650.88742583949</v>
      </c>
    </row>
    <row r="35" spans="2:21" x14ac:dyDescent="0.3">
      <c r="B35" s="21" t="s">
        <v>35</v>
      </c>
      <c r="C35" s="21"/>
      <c r="D35" s="22"/>
      <c r="E35" s="60">
        <f>E31-E33-E34</f>
        <v>402571.4285714291</v>
      </c>
      <c r="F35" s="60">
        <f t="shared" ref="F35:H35" si="11">F31-F33-F34</f>
        <v>869505.66339685977</v>
      </c>
      <c r="G35" s="60">
        <f t="shared" si="11"/>
        <v>1338955.0334461029</v>
      </c>
      <c r="H35" s="60">
        <f t="shared" si="11"/>
        <v>1804544.3090027333</v>
      </c>
    </row>
    <row r="36" spans="2:21" ht="6" customHeight="1" x14ac:dyDescent="0.3">
      <c r="D36" s="7"/>
      <c r="E36" s="5"/>
      <c r="F36" s="5"/>
      <c r="G36" s="5"/>
      <c r="H36" s="5"/>
    </row>
    <row r="37" spans="2:21" x14ac:dyDescent="0.3">
      <c r="B37" s="18" t="s">
        <v>36</v>
      </c>
      <c r="D37" s="7"/>
      <c r="E37" s="58">
        <f>E35*$N$6</f>
        <v>132848.57142857162</v>
      </c>
      <c r="F37" s="58">
        <f t="shared" ref="F37:H37" si="12">F35*$N$6</f>
        <v>286936.86892096372</v>
      </c>
      <c r="G37" s="58">
        <f t="shared" si="12"/>
        <v>441855.16103721398</v>
      </c>
      <c r="H37" s="58">
        <f t="shared" si="12"/>
        <v>595499.62197090208</v>
      </c>
    </row>
    <row r="38" spans="2:21" ht="15" thickBot="1" x14ac:dyDescent="0.35">
      <c r="B38" s="23" t="s">
        <v>37</v>
      </c>
      <c r="C38" s="23"/>
      <c r="D38" s="24"/>
      <c r="E38" s="61">
        <f>E35-E37</f>
        <v>269722.85714285751</v>
      </c>
      <c r="F38" s="61">
        <f t="shared" ref="F38:H38" si="13">F35-F37</f>
        <v>582568.79447589605</v>
      </c>
      <c r="G38" s="61">
        <f t="shared" si="13"/>
        <v>897099.87240888888</v>
      </c>
      <c r="H38" s="61">
        <f t="shared" si="13"/>
        <v>1209044.6870318311</v>
      </c>
    </row>
    <row r="39" spans="2:21" ht="15" thickTop="1" x14ac:dyDescent="0.3">
      <c r="D39" s="7"/>
      <c r="E39" s="7"/>
      <c r="F39" s="7"/>
      <c r="G39" s="7"/>
      <c r="H39" s="7"/>
      <c r="L39" s="25"/>
    </row>
    <row r="40" spans="2:21" ht="15" thickBot="1" x14ac:dyDescent="0.35">
      <c r="B40" s="91" t="s">
        <v>38</v>
      </c>
      <c r="C40" s="91"/>
      <c r="D40" s="91"/>
      <c r="E40" s="16"/>
      <c r="F40" s="16"/>
      <c r="G40" s="16"/>
      <c r="H40" s="16"/>
      <c r="J40" s="10"/>
      <c r="K40" s="6" t="s">
        <v>121</v>
      </c>
      <c r="L40" s="10"/>
      <c r="M40" s="10"/>
      <c r="N40" s="10"/>
      <c r="O40" s="11"/>
      <c r="P40" s="10"/>
      <c r="Q40" s="26"/>
      <c r="R40" s="26"/>
      <c r="S40" s="26"/>
      <c r="T40" s="26"/>
      <c r="U40" s="26"/>
    </row>
    <row r="41" spans="2:21" ht="15" thickBot="1" x14ac:dyDescent="0.35">
      <c r="D41" s="54" t="s">
        <v>59</v>
      </c>
      <c r="E41" s="55" t="s">
        <v>60</v>
      </c>
      <c r="F41" s="55" t="s">
        <v>61</v>
      </c>
      <c r="G41" s="55" t="s">
        <v>62</v>
      </c>
      <c r="H41" s="56" t="s">
        <v>63</v>
      </c>
      <c r="J41" s="7"/>
      <c r="K41" s="91" t="s">
        <v>74</v>
      </c>
      <c r="L41" s="91"/>
      <c r="M41" s="91"/>
      <c r="N41" s="16"/>
      <c r="O41" s="16"/>
      <c r="P41" s="16"/>
      <c r="Q41" s="7"/>
      <c r="R41" s="7"/>
      <c r="S41" s="7"/>
      <c r="T41" s="7"/>
    </row>
    <row r="42" spans="2:21" x14ac:dyDescent="0.3">
      <c r="B42" s="1" t="s">
        <v>39</v>
      </c>
      <c r="D42" s="7"/>
      <c r="E42" s="7"/>
      <c r="F42" s="7"/>
      <c r="G42" s="7"/>
      <c r="H42" s="7"/>
      <c r="J42" s="7"/>
      <c r="L42" s="3" t="s">
        <v>59</v>
      </c>
      <c r="M42" s="54" t="s">
        <v>60</v>
      </c>
      <c r="N42" s="55" t="s">
        <v>61</v>
      </c>
      <c r="O42" s="55" t="s">
        <v>62</v>
      </c>
      <c r="P42" s="55" t="s">
        <v>63</v>
      </c>
      <c r="Q42" s="7"/>
      <c r="R42" s="7"/>
      <c r="S42" s="7"/>
      <c r="T42" s="7"/>
    </row>
    <row r="43" spans="2:21" x14ac:dyDescent="0.3">
      <c r="B43" s="18" t="s">
        <v>40</v>
      </c>
      <c r="D43" s="57">
        <f>D73</f>
        <v>0</v>
      </c>
      <c r="E43" s="57">
        <f t="shared" ref="E43:H43" si="14">E73</f>
        <v>1892732.720211423</v>
      </c>
      <c r="F43" s="57">
        <f t="shared" si="14"/>
        <v>3873012.857216171</v>
      </c>
      <c r="G43" s="57">
        <f t="shared" si="14"/>
        <v>5908730.773533239</v>
      </c>
      <c r="H43" s="57">
        <f t="shared" si="14"/>
        <v>7958436.2110594735</v>
      </c>
      <c r="J43" s="7"/>
      <c r="K43" s="7" t="s">
        <v>85</v>
      </c>
      <c r="M43" s="57">
        <f>L46</f>
        <v>7500000</v>
      </c>
      <c r="N43" s="57">
        <f t="shared" ref="N43:P43" si="15">M46</f>
        <v>5998009.8630685657</v>
      </c>
      <c r="O43" s="57">
        <f t="shared" si="15"/>
        <v>4270721.2055974174</v>
      </c>
      <c r="P43" s="57">
        <f t="shared" si="15"/>
        <v>2284339.2495055967</v>
      </c>
      <c r="Q43" s="5"/>
      <c r="R43" s="7"/>
      <c r="S43" s="7"/>
      <c r="T43" s="7"/>
    </row>
    <row r="44" spans="2:21" x14ac:dyDescent="0.3">
      <c r="B44" s="18" t="s">
        <v>108</v>
      </c>
      <c r="D44" s="57">
        <f>$D$6</f>
        <v>12500000</v>
      </c>
      <c r="E44" s="57">
        <f t="shared" ref="E44:H44" si="16">$D$6</f>
        <v>12500000</v>
      </c>
      <c r="F44" s="57">
        <f t="shared" si="16"/>
        <v>12500000</v>
      </c>
      <c r="G44" s="57">
        <f t="shared" si="16"/>
        <v>12500000</v>
      </c>
      <c r="H44" s="57">
        <f t="shared" si="16"/>
        <v>12500000</v>
      </c>
      <c r="J44" s="7"/>
      <c r="K44" s="7" t="s">
        <v>87</v>
      </c>
      <c r="L44" s="7"/>
      <c r="M44" s="57">
        <f>M43*$H$8</f>
        <v>1125000</v>
      </c>
      <c r="N44" s="57">
        <f t="shared" ref="N44:P44" si="17">N43*$H$8</f>
        <v>899701.47946028481</v>
      </c>
      <c r="O44" s="57">
        <f t="shared" si="17"/>
        <v>640608.18083961261</v>
      </c>
      <c r="P44" s="57">
        <f t="shared" si="17"/>
        <v>342650.88742583949</v>
      </c>
      <c r="Q44" s="5"/>
      <c r="R44" s="7"/>
      <c r="S44" s="7"/>
      <c r="T44" s="7"/>
    </row>
    <row r="45" spans="2:21" x14ac:dyDescent="0.3">
      <c r="B45" s="27" t="s">
        <v>88</v>
      </c>
      <c r="D45" s="57"/>
      <c r="E45" s="57">
        <f>D45+E33</f>
        <v>3125000</v>
      </c>
      <c r="F45" s="57">
        <f t="shared" ref="F45:H45" si="18">E45+F33</f>
        <v>6250000</v>
      </c>
      <c r="G45" s="57">
        <f t="shared" si="18"/>
        <v>9375000</v>
      </c>
      <c r="H45" s="57">
        <f t="shared" si="18"/>
        <v>12500000</v>
      </c>
      <c r="J45" s="7"/>
      <c r="K45" s="7" t="s">
        <v>73</v>
      </c>
      <c r="L45" s="7"/>
      <c r="M45" s="57">
        <f>PMT($H$8,$H$9,$M$43)</f>
        <v>-2626990.1369314338</v>
      </c>
      <c r="N45" s="57">
        <f t="shared" ref="N45:P45" si="19">PMT($H$8,$H$9,$M$43)</f>
        <v>-2626990.1369314338</v>
      </c>
      <c r="O45" s="57">
        <f t="shared" si="19"/>
        <v>-2626990.1369314338</v>
      </c>
      <c r="P45" s="57">
        <f t="shared" si="19"/>
        <v>-2626990.1369314338</v>
      </c>
      <c r="Q45" s="5"/>
      <c r="R45" s="7"/>
      <c r="S45" s="7"/>
      <c r="T45" s="7"/>
    </row>
    <row r="46" spans="2:21" x14ac:dyDescent="0.3">
      <c r="B46" s="28" t="s">
        <v>109</v>
      </c>
      <c r="C46" s="19"/>
      <c r="D46" s="59">
        <f>D44-D45</f>
        <v>12500000</v>
      </c>
      <c r="E46" s="59">
        <f t="shared" ref="E46:H46" si="20">E44-E45</f>
        <v>9375000</v>
      </c>
      <c r="F46" s="59">
        <f t="shared" si="20"/>
        <v>6250000</v>
      </c>
      <c r="G46" s="59">
        <f t="shared" si="20"/>
        <v>3125000</v>
      </c>
      <c r="H46" s="59">
        <f t="shared" si="20"/>
        <v>0</v>
      </c>
      <c r="J46" s="7"/>
      <c r="K46" s="7" t="s">
        <v>86</v>
      </c>
      <c r="L46" s="57">
        <f>D6*H6</f>
        <v>7500000</v>
      </c>
      <c r="M46" s="57">
        <f>SUM(M43:M45)</f>
        <v>5998009.8630685657</v>
      </c>
      <c r="N46" s="57">
        <f t="shared" ref="N46:P46" si="21">SUM(N43:N45)</f>
        <v>4270721.2055974174</v>
      </c>
      <c r="O46" s="57">
        <f t="shared" si="21"/>
        <v>2284339.2495055967</v>
      </c>
      <c r="P46" s="57">
        <f t="shared" si="21"/>
        <v>0</v>
      </c>
      <c r="Q46" s="5"/>
      <c r="R46" s="7"/>
      <c r="S46" s="7"/>
      <c r="T46" s="7"/>
    </row>
    <row r="47" spans="2:21" ht="17.25" customHeight="1" thickBot="1" x14ac:dyDescent="0.35">
      <c r="B47" s="23" t="s">
        <v>41</v>
      </c>
      <c r="C47" s="23"/>
      <c r="D47" s="61">
        <f>D43+D46</f>
        <v>12500000</v>
      </c>
      <c r="E47" s="61">
        <f t="shared" ref="E47:H47" si="22">E43+E46</f>
        <v>11267732.720211424</v>
      </c>
      <c r="F47" s="61">
        <f t="shared" si="22"/>
        <v>10123012.857216172</v>
      </c>
      <c r="G47" s="61">
        <f t="shared" si="22"/>
        <v>9033730.77353324</v>
      </c>
      <c r="H47" s="61">
        <f t="shared" si="22"/>
        <v>7958436.2110594735</v>
      </c>
      <c r="J47" s="7"/>
      <c r="K47" s="7"/>
      <c r="L47" s="7"/>
      <c r="M47" s="7"/>
      <c r="N47" s="7"/>
      <c r="O47" s="7"/>
      <c r="P47" s="7"/>
      <c r="Q47" s="7"/>
    </row>
    <row r="48" spans="2:21" ht="15" thickTop="1" x14ac:dyDescent="0.3">
      <c r="B48" s="3" t="s">
        <v>83</v>
      </c>
      <c r="D48" s="7"/>
      <c r="E48" s="7"/>
      <c r="F48" s="7"/>
      <c r="G48" s="7"/>
      <c r="H48" s="7"/>
      <c r="J48" s="7"/>
      <c r="K48" s="7" t="s">
        <v>81</v>
      </c>
      <c r="L48" s="7"/>
      <c r="M48" s="57">
        <f>M43-M46</f>
        <v>1501990.1369314343</v>
      </c>
      <c r="N48" s="57">
        <f t="shared" ref="N48:P48" si="23">N43-N46</f>
        <v>1727288.6574711483</v>
      </c>
      <c r="O48" s="57">
        <f t="shared" si="23"/>
        <v>1986381.9560918207</v>
      </c>
      <c r="P48" s="57">
        <f t="shared" si="23"/>
        <v>2284339.2495055967</v>
      </c>
      <c r="Q48" s="5"/>
    </row>
    <row r="49" spans="2:17" x14ac:dyDescent="0.3">
      <c r="B49" s="1" t="s">
        <v>42</v>
      </c>
      <c r="D49" s="7"/>
      <c r="E49" s="7"/>
      <c r="F49" s="7"/>
      <c r="G49" s="7"/>
      <c r="H49" s="7"/>
      <c r="J49" s="7"/>
      <c r="K49" s="7"/>
      <c r="L49" s="7"/>
      <c r="M49" s="7"/>
      <c r="N49" s="7"/>
      <c r="O49" s="7"/>
      <c r="P49" s="7"/>
    </row>
    <row r="50" spans="2:17" x14ac:dyDescent="0.3">
      <c r="B50" s="18" t="s">
        <v>1</v>
      </c>
      <c r="D50" s="57">
        <f>L46</f>
        <v>7500000</v>
      </c>
      <c r="E50" s="57">
        <f t="shared" ref="E50:H50" si="24">M46</f>
        <v>5998009.8630685657</v>
      </c>
      <c r="F50" s="57">
        <f t="shared" si="24"/>
        <v>4270721.2055974174</v>
      </c>
      <c r="G50" s="57">
        <f t="shared" si="24"/>
        <v>2284339.2495055967</v>
      </c>
      <c r="H50" s="57">
        <f t="shared" si="24"/>
        <v>0</v>
      </c>
      <c r="N50" s="11"/>
      <c r="O50" s="11"/>
      <c r="P50" s="11"/>
      <c r="Q50" s="11"/>
    </row>
    <row r="51" spans="2:17" x14ac:dyDescent="0.3">
      <c r="B51" s="18" t="s">
        <v>2</v>
      </c>
      <c r="D51" s="57">
        <f>$D$6*$H$7</f>
        <v>5000000</v>
      </c>
      <c r="E51" s="57">
        <f t="shared" ref="E51:H51" si="25">$D$6*$H$7</f>
        <v>5000000</v>
      </c>
      <c r="F51" s="57">
        <f t="shared" si="25"/>
        <v>5000000</v>
      </c>
      <c r="G51" s="57">
        <f t="shared" si="25"/>
        <v>5000000</v>
      </c>
      <c r="H51" s="57">
        <f t="shared" si="25"/>
        <v>5000000</v>
      </c>
      <c r="J51" s="10"/>
      <c r="K51" s="10"/>
      <c r="N51" s="11"/>
      <c r="O51" s="11"/>
      <c r="P51" s="11"/>
      <c r="Q51" s="11"/>
    </row>
    <row r="52" spans="2:17" x14ac:dyDescent="0.3">
      <c r="B52" s="18" t="s">
        <v>110</v>
      </c>
      <c r="D52" s="57"/>
      <c r="E52" s="57">
        <f>D52+E38</f>
        <v>269722.85714285751</v>
      </c>
      <c r="F52" s="57">
        <f t="shared" ref="F52:H52" si="26">E52+F38</f>
        <v>852291.65161875356</v>
      </c>
      <c r="G52" s="57">
        <f t="shared" si="26"/>
        <v>1749391.5240276423</v>
      </c>
      <c r="H52" s="57">
        <f t="shared" si="26"/>
        <v>2958436.2110594735</v>
      </c>
    </row>
    <row r="53" spans="2:17" ht="15" thickBot="1" x14ac:dyDescent="0.35">
      <c r="B53" s="23" t="s">
        <v>43</v>
      </c>
      <c r="C53" s="23"/>
      <c r="D53" s="61">
        <f>SUM(D50:D52)</f>
        <v>12500000</v>
      </c>
      <c r="E53" s="61">
        <f t="shared" ref="E53:H53" si="27">SUM(E50:E52)</f>
        <v>11267732.720211424</v>
      </c>
      <c r="F53" s="61">
        <f t="shared" si="27"/>
        <v>10123012.857216172</v>
      </c>
      <c r="G53" s="61">
        <f t="shared" si="27"/>
        <v>9033730.7735332381</v>
      </c>
      <c r="H53" s="61">
        <f t="shared" si="27"/>
        <v>7958436.2110594735</v>
      </c>
      <c r="J53" s="10"/>
      <c r="K53" s="10"/>
      <c r="N53" s="11"/>
      <c r="O53" s="11"/>
      <c r="P53" s="11"/>
      <c r="Q53" s="11"/>
    </row>
    <row r="54" spans="2:17" ht="15" thickTop="1" x14ac:dyDescent="0.3">
      <c r="B54" s="29" t="s">
        <v>44</v>
      </c>
      <c r="C54" s="29"/>
      <c r="D54" s="8">
        <f>D53-D47</f>
        <v>0</v>
      </c>
      <c r="E54" s="8">
        <f>E53-E47</f>
        <v>0</v>
      </c>
      <c r="F54" s="8">
        <f>F53-F47</f>
        <v>0</v>
      </c>
      <c r="G54" s="8">
        <f>G53-G47</f>
        <v>0</v>
      </c>
      <c r="H54" s="9">
        <f>H53-H47</f>
        <v>0</v>
      </c>
      <c r="N54" s="11"/>
      <c r="O54" s="11"/>
      <c r="P54" s="11"/>
      <c r="Q54" s="11"/>
    </row>
    <row r="55" spans="2:17" x14ac:dyDescent="0.3">
      <c r="D55" s="7"/>
      <c r="E55" s="7"/>
      <c r="F55" s="7"/>
      <c r="G55" s="7"/>
      <c r="H55" s="7"/>
    </row>
    <row r="56" spans="2:17" ht="15" thickBot="1" x14ac:dyDescent="0.35">
      <c r="B56" s="91" t="s">
        <v>45</v>
      </c>
      <c r="C56" s="91"/>
      <c r="D56" s="91"/>
      <c r="E56" s="16"/>
      <c r="F56" s="16"/>
      <c r="G56" s="16"/>
      <c r="H56" s="16"/>
    </row>
    <row r="57" spans="2:17" x14ac:dyDescent="0.3">
      <c r="D57" s="54" t="s">
        <v>59</v>
      </c>
      <c r="E57" s="55" t="s">
        <v>60</v>
      </c>
      <c r="F57" s="55" t="s">
        <v>61</v>
      </c>
      <c r="G57" s="55" t="s">
        <v>62</v>
      </c>
      <c r="H57" s="56" t="s">
        <v>63</v>
      </c>
      <c r="K57" s="25">
        <v>0</v>
      </c>
      <c r="L57" s="25">
        <v>1E-8</v>
      </c>
    </row>
    <row r="58" spans="2:17" x14ac:dyDescent="0.3">
      <c r="M58" s="30" t="s">
        <v>92</v>
      </c>
      <c r="N58" s="30" t="s">
        <v>93</v>
      </c>
    </row>
    <row r="59" spans="2:17" x14ac:dyDescent="0.3">
      <c r="B59" s="18" t="s">
        <v>37</v>
      </c>
      <c r="D59" s="57">
        <f>D38</f>
        <v>0</v>
      </c>
      <c r="E59" s="57">
        <f t="shared" ref="E59:H59" si="28">E38</f>
        <v>269722.85714285751</v>
      </c>
      <c r="F59" s="57">
        <f t="shared" si="28"/>
        <v>582568.79447589605</v>
      </c>
      <c r="G59" s="57">
        <f t="shared" si="28"/>
        <v>897099.87240888888</v>
      </c>
      <c r="H59" s="57">
        <f t="shared" si="28"/>
        <v>1209044.6870318311</v>
      </c>
      <c r="L59" s="3" t="s">
        <v>39</v>
      </c>
      <c r="M59" s="30">
        <v>100</v>
      </c>
      <c r="N59" s="30">
        <v>200</v>
      </c>
      <c r="O59" s="3" t="s">
        <v>103</v>
      </c>
    </row>
    <row r="60" spans="2:17" x14ac:dyDescent="0.3">
      <c r="B60" s="18" t="s">
        <v>33</v>
      </c>
      <c r="D60" s="57">
        <f>D33</f>
        <v>0</v>
      </c>
      <c r="E60" s="57">
        <f t="shared" ref="E60:H60" si="29">E33</f>
        <v>3125000</v>
      </c>
      <c r="F60" s="57">
        <f t="shared" si="29"/>
        <v>3125000</v>
      </c>
      <c r="G60" s="57">
        <f t="shared" si="29"/>
        <v>3125000</v>
      </c>
      <c r="H60" s="57">
        <f t="shared" si="29"/>
        <v>3125000</v>
      </c>
      <c r="L60" s="3" t="s">
        <v>94</v>
      </c>
      <c r="M60" s="30"/>
      <c r="N60" s="31">
        <v>-100</v>
      </c>
      <c r="O60" s="3" t="s">
        <v>95</v>
      </c>
    </row>
    <row r="61" spans="2:17" x14ac:dyDescent="0.3">
      <c r="B61" s="21" t="s">
        <v>46</v>
      </c>
      <c r="C61" s="21"/>
      <c r="D61" s="60">
        <f>D59+D60</f>
        <v>0</v>
      </c>
      <c r="E61" s="60">
        <f>E59+E60</f>
        <v>3394722.8571428573</v>
      </c>
      <c r="F61" s="60">
        <f t="shared" ref="F61:H61" si="30">F59+F60</f>
        <v>3707568.7944758963</v>
      </c>
      <c r="G61" s="60">
        <f t="shared" si="30"/>
        <v>4022099.8724088888</v>
      </c>
      <c r="H61" s="60">
        <f t="shared" si="30"/>
        <v>4334044.6870318316</v>
      </c>
      <c r="M61" s="30"/>
      <c r="N61" s="32">
        <f>M59-N59</f>
        <v>-100</v>
      </c>
      <c r="O61" s="3" t="s">
        <v>96</v>
      </c>
    </row>
    <row r="62" spans="2:17" ht="5.55" customHeight="1" x14ac:dyDescent="0.3">
      <c r="M62" s="30"/>
      <c r="N62" s="30"/>
    </row>
    <row r="63" spans="2:17" x14ac:dyDescent="0.3">
      <c r="B63" s="18" t="s">
        <v>105</v>
      </c>
      <c r="D63" s="57">
        <f>-D44</f>
        <v>-12500000</v>
      </c>
      <c r="E63" s="57">
        <f>D44-E44</f>
        <v>0</v>
      </c>
      <c r="F63" s="57">
        <f t="shared" ref="F63:H63" si="31">E44-F44</f>
        <v>0</v>
      </c>
      <c r="G63" s="57">
        <f t="shared" si="31"/>
        <v>0</v>
      </c>
      <c r="H63" s="57">
        <f t="shared" si="31"/>
        <v>0</v>
      </c>
      <c r="M63" s="30"/>
      <c r="N63" s="30">
        <f>M59-N59</f>
        <v>-100</v>
      </c>
    </row>
    <row r="64" spans="2:17" x14ac:dyDescent="0.3">
      <c r="B64" s="21" t="s">
        <v>47</v>
      </c>
      <c r="C64" s="21"/>
      <c r="D64" s="60">
        <f>D63</f>
        <v>-12500000</v>
      </c>
      <c r="E64" s="60">
        <f t="shared" ref="E64:G64" si="32">E63</f>
        <v>0</v>
      </c>
      <c r="F64" s="60">
        <f t="shared" si="32"/>
        <v>0</v>
      </c>
      <c r="G64" s="60">
        <f t="shared" si="32"/>
        <v>0</v>
      </c>
      <c r="H64" s="60"/>
      <c r="M64" s="30"/>
      <c r="N64" s="30"/>
    </row>
    <row r="65" spans="2:17" ht="5.25" customHeight="1" x14ac:dyDescent="0.3"/>
    <row r="66" spans="2:17" x14ac:dyDescent="0.3">
      <c r="B66" s="18" t="s">
        <v>106</v>
      </c>
      <c r="D66" s="57"/>
      <c r="E66" s="57">
        <f>E50-D50</f>
        <v>-1501990.1369314343</v>
      </c>
      <c r="F66" s="57">
        <f t="shared" ref="F66:H66" si="33">F50-E50</f>
        <v>-1727288.6574711483</v>
      </c>
      <c r="G66" s="57">
        <f t="shared" si="33"/>
        <v>-1986381.9560918207</v>
      </c>
      <c r="H66" s="57">
        <f t="shared" si="33"/>
        <v>-2284339.2495055967</v>
      </c>
      <c r="M66" s="30" t="s">
        <v>92</v>
      </c>
      <c r="N66" s="30" t="s">
        <v>93</v>
      </c>
    </row>
    <row r="67" spans="2:17" x14ac:dyDescent="0.3">
      <c r="B67" s="18" t="s">
        <v>107</v>
      </c>
      <c r="D67" s="57"/>
      <c r="E67" s="57"/>
      <c r="F67" s="57"/>
      <c r="G67" s="57"/>
      <c r="H67" s="57"/>
      <c r="L67" s="3" t="s">
        <v>97</v>
      </c>
      <c r="M67" s="30">
        <v>100</v>
      </c>
      <c r="N67" s="30">
        <v>200</v>
      </c>
      <c r="O67" s="3" t="s">
        <v>104</v>
      </c>
    </row>
    <row r="68" spans="2:17" x14ac:dyDescent="0.3">
      <c r="B68" s="21" t="s">
        <v>48</v>
      </c>
      <c r="C68" s="21"/>
      <c r="D68" s="60"/>
      <c r="E68" s="60">
        <f>SUM(E66:E67)</f>
        <v>-1501990.1369314343</v>
      </c>
      <c r="F68" s="60">
        <f t="shared" ref="F68:H68" si="34">SUM(F66:F67)</f>
        <v>-1727288.6574711483</v>
      </c>
      <c r="G68" s="60">
        <f t="shared" si="34"/>
        <v>-1986381.9560918207</v>
      </c>
      <c r="H68" s="60">
        <f t="shared" si="34"/>
        <v>-2284339.2495055967</v>
      </c>
      <c r="L68" s="3" t="s">
        <v>98</v>
      </c>
      <c r="M68" s="30"/>
      <c r="N68" s="31">
        <v>100</v>
      </c>
      <c r="O68" s="3" t="s">
        <v>100</v>
      </c>
    </row>
    <row r="69" spans="2:17" x14ac:dyDescent="0.3">
      <c r="D69" s="11">
        <f>D61+D64+D68</f>
        <v>-12500000</v>
      </c>
      <c r="E69" s="11">
        <f t="shared" ref="E69" si="35">E61+E64+E68</f>
        <v>1892732.720211423</v>
      </c>
      <c r="F69" s="11">
        <f t="shared" ref="F69" si="36">F61+F64+F68</f>
        <v>1980280.137004748</v>
      </c>
      <c r="G69" s="11">
        <f t="shared" ref="G69" si="37">G61+G64+G68</f>
        <v>2035717.916317068</v>
      </c>
      <c r="H69" s="11">
        <f t="shared" ref="H69" si="38">H61+H64+H68</f>
        <v>2049705.4375262349</v>
      </c>
      <c r="M69" s="30"/>
    </row>
    <row r="70" spans="2:17" x14ac:dyDescent="0.3">
      <c r="B70" s="21" t="s">
        <v>49</v>
      </c>
      <c r="C70" s="21"/>
      <c r="D70" s="60">
        <f>D61+D64+D68</f>
        <v>-12500000</v>
      </c>
      <c r="E70" s="60">
        <f t="shared" ref="E70:H70" si="39">E61+E64+E68</f>
        <v>1892732.720211423</v>
      </c>
      <c r="F70" s="60">
        <f t="shared" si="39"/>
        <v>1980280.137004748</v>
      </c>
      <c r="G70" s="60">
        <f t="shared" si="39"/>
        <v>2035717.916317068</v>
      </c>
      <c r="H70" s="60">
        <f t="shared" si="39"/>
        <v>2049705.4375262349</v>
      </c>
      <c r="N70" s="32">
        <f>N67-M67</f>
        <v>100</v>
      </c>
      <c r="O70" s="3" t="s">
        <v>99</v>
      </c>
    </row>
    <row r="72" spans="2:17" x14ac:dyDescent="0.3">
      <c r="B72" s="21" t="s">
        <v>50</v>
      </c>
      <c r="C72" s="21"/>
      <c r="D72" s="60"/>
      <c r="E72" s="60">
        <f>D73</f>
        <v>0</v>
      </c>
      <c r="F72" s="60">
        <f t="shared" ref="F72:H72" si="40">E73</f>
        <v>1892732.720211423</v>
      </c>
      <c r="G72" s="60">
        <f t="shared" si="40"/>
        <v>3873012.857216171</v>
      </c>
      <c r="H72" s="60">
        <f t="shared" si="40"/>
        <v>5908730.773533239</v>
      </c>
      <c r="N72" s="33"/>
    </row>
    <row r="73" spans="2:17" ht="18" customHeight="1" thickBot="1" x14ac:dyDescent="0.35">
      <c r="B73" s="34" t="s">
        <v>51</v>
      </c>
      <c r="C73" s="34"/>
      <c r="D73" s="62"/>
      <c r="E73" s="62">
        <f>E72+E70</f>
        <v>1892732.720211423</v>
      </c>
      <c r="F73" s="62">
        <f t="shared" ref="F73:H73" si="41">F72+F70</f>
        <v>3873012.857216171</v>
      </c>
      <c r="G73" s="62">
        <f t="shared" si="41"/>
        <v>5908730.773533239</v>
      </c>
      <c r="H73" s="62">
        <f t="shared" si="41"/>
        <v>7958436.2110594735</v>
      </c>
    </row>
    <row r="74" spans="2:17" s="29" customFormat="1" ht="15" thickTop="1" x14ac:dyDescent="0.3">
      <c r="D74" s="8"/>
      <c r="E74" s="8"/>
      <c r="F74" s="8"/>
      <c r="G74" s="8"/>
      <c r="H74" s="8"/>
      <c r="L74" s="29" t="s">
        <v>83</v>
      </c>
      <c r="N74" s="35"/>
    </row>
    <row r="75" spans="2:17" x14ac:dyDescent="0.3">
      <c r="E75" s="36"/>
      <c r="K75" s="92"/>
      <c r="M75" s="37"/>
      <c r="N75" s="37"/>
      <c r="O75" s="37"/>
      <c r="P75" s="37"/>
      <c r="Q75" s="37"/>
    </row>
    <row r="76" spans="2:17" ht="15" thickBot="1" x14ac:dyDescent="0.35">
      <c r="B76" s="91" t="s">
        <v>56</v>
      </c>
      <c r="C76" s="91"/>
      <c r="D76" s="91"/>
      <c r="E76" s="16"/>
      <c r="F76" s="16"/>
      <c r="G76" s="16"/>
      <c r="H76" s="16"/>
      <c r="K76" s="92"/>
      <c r="M76" s="37"/>
      <c r="N76" s="37"/>
      <c r="O76" s="37"/>
      <c r="P76" s="37"/>
      <c r="Q76" s="37"/>
    </row>
    <row r="77" spans="2:17" x14ac:dyDescent="0.3">
      <c r="D77" s="54" t="s">
        <v>59</v>
      </c>
      <c r="E77" s="55" t="s">
        <v>60</v>
      </c>
      <c r="F77" s="55" t="s">
        <v>61</v>
      </c>
      <c r="G77" s="55" t="s">
        <v>62</v>
      </c>
      <c r="H77" s="56" t="s">
        <v>63</v>
      </c>
      <c r="K77" s="92"/>
      <c r="M77" s="38"/>
      <c r="N77" s="38"/>
      <c r="O77" s="38"/>
      <c r="P77" s="38"/>
      <c r="Q77" s="38"/>
    </row>
    <row r="78" spans="2:17" x14ac:dyDescent="0.3">
      <c r="K78" s="92"/>
      <c r="M78" s="37"/>
      <c r="N78" s="37"/>
      <c r="O78" s="37"/>
      <c r="P78" s="37"/>
      <c r="Q78" s="37"/>
    </row>
    <row r="79" spans="2:17" x14ac:dyDescent="0.3">
      <c r="B79" s="18" t="s">
        <v>122</v>
      </c>
      <c r="D79" s="63">
        <f>D38</f>
        <v>0</v>
      </c>
      <c r="E79" s="63">
        <f t="shared" ref="E79:H79" si="42">E38</f>
        <v>269722.85714285751</v>
      </c>
      <c r="F79" s="63">
        <f t="shared" si="42"/>
        <v>582568.79447589605</v>
      </c>
      <c r="G79" s="63">
        <f t="shared" si="42"/>
        <v>897099.87240888888</v>
      </c>
      <c r="H79" s="63">
        <f t="shared" si="42"/>
        <v>1209044.6870318311</v>
      </c>
      <c r="K79" s="1" t="s">
        <v>90</v>
      </c>
    </row>
    <row r="80" spans="2:17" x14ac:dyDescent="0.3">
      <c r="B80" s="18" t="s">
        <v>33</v>
      </c>
      <c r="D80" s="63">
        <f>D33</f>
        <v>0</v>
      </c>
      <c r="E80" s="63">
        <f t="shared" ref="E80:H80" si="43">E33</f>
        <v>3125000</v>
      </c>
      <c r="F80" s="63">
        <f t="shared" si="43"/>
        <v>3125000</v>
      </c>
      <c r="G80" s="63">
        <f t="shared" si="43"/>
        <v>3125000</v>
      </c>
      <c r="H80" s="63">
        <f t="shared" si="43"/>
        <v>3125000</v>
      </c>
      <c r="L80" s="93" t="s">
        <v>67</v>
      </c>
      <c r="M80" s="93"/>
      <c r="N80" s="93"/>
      <c r="O80" s="93"/>
      <c r="P80" s="93"/>
      <c r="Q80" s="93"/>
    </row>
    <row r="81" spans="2:18" ht="15" thickBot="1" x14ac:dyDescent="0.35">
      <c r="B81" s="18" t="s">
        <v>123</v>
      </c>
      <c r="D81" s="63">
        <f>D63</f>
        <v>-12500000</v>
      </c>
      <c r="E81" s="63">
        <f t="shared" ref="E81:H81" si="44">E63</f>
        <v>0</v>
      </c>
      <c r="F81" s="63">
        <f t="shared" si="44"/>
        <v>0</v>
      </c>
      <c r="G81" s="63">
        <f t="shared" si="44"/>
        <v>0</v>
      </c>
      <c r="H81" s="63">
        <f t="shared" si="44"/>
        <v>0</v>
      </c>
      <c r="K81" s="90" t="s">
        <v>66</v>
      </c>
      <c r="L81" s="39"/>
      <c r="M81" s="10">
        <v>0.1</v>
      </c>
      <c r="N81" s="10">
        <f>M81+15%</f>
        <v>0.25</v>
      </c>
      <c r="O81" s="10">
        <f>N81+15%</f>
        <v>0.4</v>
      </c>
      <c r="P81" s="10">
        <f>O81+15%</f>
        <v>0.55000000000000004</v>
      </c>
      <c r="Q81" s="10">
        <v>0.75</v>
      </c>
    </row>
    <row r="82" spans="2:18" x14ac:dyDescent="0.3">
      <c r="B82" s="18" t="s">
        <v>106</v>
      </c>
      <c r="D82" s="63">
        <f>D50</f>
        <v>7500000</v>
      </c>
      <c r="E82" s="63">
        <f t="shared" ref="E82:H82" si="45">E66</f>
        <v>-1501990.1369314343</v>
      </c>
      <c r="F82" s="63">
        <f t="shared" si="45"/>
        <v>-1727288.6574711483</v>
      </c>
      <c r="G82" s="63">
        <f t="shared" si="45"/>
        <v>-1986381.9560918207</v>
      </c>
      <c r="H82" s="63">
        <f t="shared" si="45"/>
        <v>-2284339.2495055967</v>
      </c>
      <c r="K82" s="90"/>
      <c r="L82" s="10">
        <v>0.08</v>
      </c>
      <c r="M82" s="67"/>
      <c r="N82" s="68"/>
      <c r="O82" s="68"/>
      <c r="P82" s="68"/>
      <c r="Q82" s="68"/>
    </row>
    <row r="83" spans="2:18" ht="15" thickBot="1" x14ac:dyDescent="0.35">
      <c r="B83" s="23" t="s">
        <v>76</v>
      </c>
      <c r="C83" s="23"/>
      <c r="D83" s="64">
        <f>SUM(D79:D82)</f>
        <v>-5000000</v>
      </c>
      <c r="E83" s="64">
        <f t="shared" ref="E83:H83" si="46">SUM(E79:E82)</f>
        <v>1892732.720211423</v>
      </c>
      <c r="F83" s="64">
        <f t="shared" si="46"/>
        <v>1980280.137004748</v>
      </c>
      <c r="G83" s="64">
        <f t="shared" si="46"/>
        <v>2035717.916317068</v>
      </c>
      <c r="H83" s="64">
        <f t="shared" si="46"/>
        <v>2049705.4375262349</v>
      </c>
      <c r="K83" s="90"/>
      <c r="L83" s="10">
        <f>L82+1%</f>
        <v>0.09</v>
      </c>
      <c r="M83" s="69"/>
      <c r="N83" s="70"/>
      <c r="O83" s="70"/>
      <c r="P83" s="70"/>
      <c r="Q83" s="70"/>
    </row>
    <row r="84" spans="2:18" ht="15" thickTop="1" x14ac:dyDescent="0.3">
      <c r="K84" s="90"/>
      <c r="L84" s="10">
        <f>L83+1%</f>
        <v>9.9999999999999992E-2</v>
      </c>
      <c r="M84" s="69"/>
      <c r="N84" s="70"/>
      <c r="O84" s="70"/>
      <c r="P84" s="70"/>
      <c r="Q84" s="70"/>
    </row>
    <row r="85" spans="2:18" x14ac:dyDescent="0.3">
      <c r="K85" s="90"/>
      <c r="L85" s="10">
        <f>L84+1%</f>
        <v>0.10999999999999999</v>
      </c>
      <c r="M85" s="69"/>
      <c r="N85" s="70"/>
      <c r="O85" s="70"/>
      <c r="P85" s="70"/>
      <c r="Q85" s="70"/>
    </row>
    <row r="86" spans="2:18" ht="15" thickBot="1" x14ac:dyDescent="0.35">
      <c r="B86" s="91" t="s">
        <v>75</v>
      </c>
      <c r="C86" s="91"/>
      <c r="D86" s="91"/>
      <c r="E86" s="16"/>
      <c r="F86" s="16"/>
      <c r="G86" s="16"/>
      <c r="H86" s="16"/>
      <c r="K86" s="90"/>
      <c r="L86" s="10">
        <f>L85+1%</f>
        <v>0.11999999999999998</v>
      </c>
      <c r="M86" s="69"/>
      <c r="N86" s="70"/>
      <c r="O86" s="70"/>
      <c r="P86" s="70"/>
      <c r="Q86" s="70"/>
    </row>
    <row r="87" spans="2:18" x14ac:dyDescent="0.3">
      <c r="D87" s="54" t="s">
        <v>59</v>
      </c>
      <c r="E87" s="55" t="s">
        <v>60</v>
      </c>
      <c r="F87" s="55" t="s">
        <v>61</v>
      </c>
      <c r="G87" s="55" t="s">
        <v>62</v>
      </c>
      <c r="H87" s="56" t="s">
        <v>63</v>
      </c>
      <c r="K87" s="90"/>
      <c r="L87" s="10">
        <f>L86+1%</f>
        <v>0.12999999999999998</v>
      </c>
      <c r="M87" s="69"/>
      <c r="N87" s="70"/>
      <c r="O87" s="70"/>
      <c r="P87" s="70"/>
      <c r="Q87" s="70"/>
    </row>
    <row r="89" spans="2:18" x14ac:dyDescent="0.3">
      <c r="B89" s="3" t="s">
        <v>76</v>
      </c>
      <c r="D89" s="63">
        <f>D83</f>
        <v>-5000000</v>
      </c>
      <c r="E89" s="63">
        <f t="shared" ref="E89:H89" si="47">E83</f>
        <v>1892732.720211423</v>
      </c>
      <c r="F89" s="63">
        <f t="shared" si="47"/>
        <v>1980280.137004748</v>
      </c>
      <c r="G89" s="63">
        <f>G83</f>
        <v>2035717.916317068</v>
      </c>
      <c r="H89" s="63">
        <f t="shared" si="47"/>
        <v>2049705.4375262349</v>
      </c>
      <c r="Q89" s="15"/>
    </row>
    <row r="90" spans="2:18" x14ac:dyDescent="0.3">
      <c r="D90" s="10"/>
      <c r="Q90" s="15"/>
    </row>
    <row r="91" spans="2:18" x14ac:dyDescent="0.3">
      <c r="B91" s="3" t="s">
        <v>13</v>
      </c>
      <c r="D91" s="65">
        <f>H10</f>
        <v>0.2</v>
      </c>
      <c r="K91" s="1" t="s">
        <v>90</v>
      </c>
    </row>
    <row r="92" spans="2:18" ht="19.5" customHeight="1" x14ac:dyDescent="0.45">
      <c r="B92" s="3" t="s">
        <v>57</v>
      </c>
      <c r="D92" s="82">
        <f>NPV(D91,E89:H89)+D89</f>
        <v>119026.07779653464</v>
      </c>
      <c r="E92" s="4" t="s">
        <v>125</v>
      </c>
      <c r="G92" s="7"/>
      <c r="M92" s="84" t="s">
        <v>111</v>
      </c>
      <c r="N92" s="85"/>
      <c r="O92" s="85"/>
      <c r="P92" s="85"/>
      <c r="Q92" s="86"/>
    </row>
    <row r="93" spans="2:18" x14ac:dyDescent="0.3">
      <c r="B93" s="3" t="s">
        <v>58</v>
      </c>
      <c r="D93" s="66">
        <f>IRR(D89:H89)</f>
        <v>0.21232676466573852</v>
      </c>
      <c r="E93" s="2" t="s">
        <v>126</v>
      </c>
      <c r="K93" s="87" t="s">
        <v>112</v>
      </c>
      <c r="L93" s="47"/>
      <c r="M93" s="48">
        <v>3</v>
      </c>
      <c r="N93" s="48">
        <f>M93+0.5</f>
        <v>3.5</v>
      </c>
      <c r="O93" s="48">
        <f t="shared" ref="O93:Q93" si="48">N93+0.5</f>
        <v>4</v>
      </c>
      <c r="P93" s="48">
        <f t="shared" si="48"/>
        <v>4.5</v>
      </c>
      <c r="Q93" s="49">
        <f t="shared" si="48"/>
        <v>5</v>
      </c>
    </row>
    <row r="94" spans="2:18" ht="15" thickBot="1" x14ac:dyDescent="0.35">
      <c r="B94" s="40"/>
      <c r="C94" s="40"/>
      <c r="D94" s="40"/>
      <c r="E94" s="40"/>
      <c r="F94" s="40"/>
      <c r="G94" s="40"/>
      <c r="H94" s="40"/>
      <c r="K94" s="88"/>
      <c r="L94" s="50">
        <v>0.4</v>
      </c>
      <c r="M94" s="71"/>
      <c r="N94" s="72"/>
      <c r="O94" s="72"/>
      <c r="P94" s="72"/>
      <c r="Q94" s="73"/>
    </row>
    <row r="95" spans="2:18" x14ac:dyDescent="0.3">
      <c r="K95" s="88"/>
      <c r="L95" s="50">
        <f>L94+5%</f>
        <v>0.45</v>
      </c>
      <c r="M95" s="74"/>
      <c r="N95" s="75"/>
      <c r="O95" s="75"/>
      <c r="P95" s="75"/>
      <c r="Q95" s="76"/>
      <c r="R95" s="41"/>
    </row>
    <row r="96" spans="2:18" ht="15" customHeight="1" x14ac:dyDescent="0.3">
      <c r="D96" s="42"/>
      <c r="K96" s="88"/>
      <c r="L96" s="50">
        <f t="shared" ref="L96:L98" si="49">L95+5%</f>
        <v>0.5</v>
      </c>
      <c r="M96" s="74"/>
      <c r="N96" s="75"/>
      <c r="O96" s="75"/>
      <c r="P96" s="75"/>
      <c r="Q96" s="76"/>
    </row>
    <row r="97" spans="11:17" x14ac:dyDescent="0.3">
      <c r="K97" s="88"/>
      <c r="L97" s="50">
        <f t="shared" si="49"/>
        <v>0.55000000000000004</v>
      </c>
      <c r="M97" s="74"/>
      <c r="N97" s="75"/>
      <c r="O97" s="75"/>
      <c r="P97" s="75"/>
      <c r="Q97" s="76"/>
    </row>
    <row r="98" spans="11:17" x14ac:dyDescent="0.3">
      <c r="K98" s="89"/>
      <c r="L98" s="51">
        <f t="shared" si="49"/>
        <v>0.60000000000000009</v>
      </c>
      <c r="M98" s="77"/>
      <c r="N98" s="78"/>
      <c r="O98" s="78"/>
      <c r="P98" s="78"/>
      <c r="Q98" s="79"/>
    </row>
    <row r="99" spans="11:17" x14ac:dyDescent="0.3">
      <c r="N99" s="43"/>
      <c r="O99" s="43"/>
      <c r="P99" s="43"/>
      <c r="Q99" s="44"/>
    </row>
    <row r="100" spans="11:17" x14ac:dyDescent="0.3">
      <c r="N100" s="43"/>
      <c r="O100" s="43"/>
      <c r="P100" s="43"/>
      <c r="Q100" s="44"/>
    </row>
    <row r="101" spans="11:17" x14ac:dyDescent="0.3">
      <c r="N101" s="43"/>
      <c r="O101" s="43"/>
      <c r="P101" s="43"/>
      <c r="Q101" s="44"/>
    </row>
    <row r="102" spans="11:17" x14ac:dyDescent="0.3">
      <c r="N102" s="45"/>
      <c r="O102" s="45"/>
      <c r="P102" s="45"/>
      <c r="Q102" s="45"/>
    </row>
    <row r="103" spans="11:17" x14ac:dyDescent="0.3">
      <c r="K103" s="44"/>
      <c r="L103" s="44"/>
    </row>
    <row r="121" spans="22:22" x14ac:dyDescent="0.3">
      <c r="V121" s="46"/>
    </row>
    <row r="139" spans="22:22" x14ac:dyDescent="0.3">
      <c r="V139" s="14"/>
    </row>
  </sheetData>
  <dataConsolidate/>
  <mergeCells count="17">
    <mergeCell ref="M92:Q92"/>
    <mergeCell ref="K93:K98"/>
    <mergeCell ref="K81:K87"/>
    <mergeCell ref="B19:D19"/>
    <mergeCell ref="K75:K78"/>
    <mergeCell ref="L80:Q80"/>
    <mergeCell ref="B40:D40"/>
    <mergeCell ref="B56:D56"/>
    <mergeCell ref="B76:D76"/>
    <mergeCell ref="B86:D86"/>
    <mergeCell ref="K41:M41"/>
    <mergeCell ref="B4:D4"/>
    <mergeCell ref="F4:H4"/>
    <mergeCell ref="B12:D12"/>
    <mergeCell ref="F12:H12"/>
    <mergeCell ref="K12:N12"/>
    <mergeCell ref="K4:N4"/>
  </mergeCells>
  <conditionalFormatting sqref="M82:Q87">
    <cfRule type="cellIs" dxfId="1" priority="2" operator="lessThan">
      <formula>$D$91</formula>
    </cfRule>
  </conditionalFormatting>
  <conditionalFormatting sqref="M94:Q98">
    <cfRule type="cellIs" dxfId="0" priority="1" operator="lessThan">
      <formula>$D$91</formula>
    </cfRule>
  </conditionalFormatting>
  <pageMargins left="0.7" right="0.7" top="0.75" bottom="0.75" header="0.3" footer="0.3"/>
  <pageSetup scale="38"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6"/>
  <sheetViews>
    <sheetView zoomScale="295" zoomScaleNormal="295" zoomScalePageLayoutView="295" workbookViewId="0">
      <selection activeCell="A5" sqref="A5"/>
    </sheetView>
  </sheetViews>
  <sheetFormatPr defaultColWidth="8.77734375" defaultRowHeight="14.4" x14ac:dyDescent="0.3"/>
  <sheetData>
    <row r="2" spans="2:4" x14ac:dyDescent="0.3">
      <c r="B2" t="s">
        <v>113</v>
      </c>
      <c r="D2" t="s">
        <v>116</v>
      </c>
    </row>
    <row r="5" spans="2:4" x14ac:dyDescent="0.3">
      <c r="B5" t="s">
        <v>114</v>
      </c>
      <c r="D5" t="s">
        <v>115</v>
      </c>
    </row>
    <row r="6" spans="2:4" x14ac:dyDescent="0.3">
      <c r="B6" t="s">
        <v>117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Overview - Fin_Mod_Case</vt:lpstr>
      <vt:lpstr>Sheet1</vt:lpstr>
      <vt:lpstr>'Overview - Fin_Mod_Case'!Print_Area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Hunk</dc:creator>
  <cp:lastModifiedBy>Shraddha Solanki</cp:lastModifiedBy>
  <cp:lastPrinted>2010-10-11T05:09:05Z</cp:lastPrinted>
  <dcterms:created xsi:type="dcterms:W3CDTF">2010-10-07T12:34:35Z</dcterms:created>
  <dcterms:modified xsi:type="dcterms:W3CDTF">2025-05-06T05:17:08Z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d8250f55-5943-49d0-8d37-7129022284a5</vt:lpwstr>
  </property>
</Properties>
</file>